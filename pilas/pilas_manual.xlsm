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pa\Downloads\"/>
    </mc:Choice>
  </mc:AlternateContent>
  <xr:revisionPtr revIDLastSave="0" documentId="13_ncr:1_{A7A61F28-DB16-4DE5-824A-509D905443F1}" xr6:coauthVersionLast="47" xr6:coauthVersionMax="47" xr10:uidLastSave="{00000000-0000-0000-0000-000000000000}"/>
  <bookViews>
    <workbookView xWindow="57480" yWindow="-120" windowWidth="16440" windowHeight="29040" activeTab="1" xr2:uid="{6E5DE1DC-1E6B-8F4A-88B5-625A8BD4E0CB}"/>
  </bookViews>
  <sheets>
    <sheet name="Sheet1" sheetId="1" r:id="rId1"/>
    <sheet name="Sheet2" sheetId="2" r:id="rId2"/>
    <sheet name="Sheet3" sheetId="3" r:id="rId3"/>
    <sheet name="Sheet4" sheetId="4" r:id="rId4"/>
    <sheet name="Hoja2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" i="5" l="1"/>
  <c r="C7" i="5"/>
  <c r="E11" i="5" s="1"/>
  <c r="C23" i="5"/>
  <c r="C24" i="5" s="1"/>
  <c r="E28" i="5" s="1"/>
  <c r="E32" i="5"/>
  <c r="G32" i="5"/>
  <c r="F15" i="4"/>
  <c r="F14" i="4"/>
  <c r="F13" i="4"/>
  <c r="F12" i="4"/>
  <c r="F11" i="4"/>
  <c r="F10" i="4"/>
  <c r="F9" i="4"/>
  <c r="F8" i="4"/>
  <c r="F7" i="4"/>
  <c r="F6" i="4"/>
  <c r="F5" i="4"/>
  <c r="F4" i="4"/>
  <c r="E29" i="5" l="1"/>
  <c r="E30" i="5"/>
  <c r="E31" i="5"/>
  <c r="F28" i="5"/>
  <c r="G28" i="5"/>
  <c r="D29" i="5"/>
  <c r="F11" i="5"/>
  <c r="E14" i="5"/>
  <c r="G11" i="5"/>
  <c r="D12" i="5"/>
  <c r="E12" i="5"/>
  <c r="E13" i="5"/>
  <c r="D205" i="3"/>
  <c r="D203" i="3"/>
  <c r="D201" i="3"/>
  <c r="D199" i="3"/>
  <c r="D197" i="3"/>
  <c r="D195" i="3"/>
  <c r="D193" i="3"/>
  <c r="D191" i="3"/>
  <c r="D189" i="3"/>
  <c r="D187" i="3"/>
  <c r="D7" i="3"/>
  <c r="D9" i="3" s="1"/>
  <c r="D11" i="3" s="1"/>
  <c r="D13" i="3" s="1"/>
  <c r="D15" i="3" s="1"/>
  <c r="D17" i="3" s="1"/>
  <c r="D19" i="3" s="1"/>
  <c r="D21" i="3" s="1"/>
  <c r="D23" i="3" s="1"/>
  <c r="D25" i="3" s="1"/>
  <c r="D27" i="3" s="1"/>
  <c r="D29" i="3" s="1"/>
  <c r="D31" i="3" s="1"/>
  <c r="D33" i="3" s="1"/>
  <c r="D35" i="3" s="1"/>
  <c r="D37" i="3" s="1"/>
  <c r="D39" i="3" s="1"/>
  <c r="D41" i="3" s="1"/>
  <c r="D43" i="3" s="1"/>
  <c r="D45" i="3" s="1"/>
  <c r="D47" i="3" s="1"/>
  <c r="D49" i="3" s="1"/>
  <c r="D51" i="3" s="1"/>
  <c r="D53" i="3" s="1"/>
  <c r="D55" i="3" s="1"/>
  <c r="D57" i="3" s="1"/>
  <c r="D59" i="3" s="1"/>
  <c r="D61" i="3" s="1"/>
  <c r="D63" i="3" s="1"/>
  <c r="D65" i="3" s="1"/>
  <c r="D67" i="3" s="1"/>
  <c r="D69" i="3" s="1"/>
  <c r="D71" i="3" s="1"/>
  <c r="D73" i="3" s="1"/>
  <c r="D75" i="3" s="1"/>
  <c r="D77" i="3" s="1"/>
  <c r="D79" i="3" s="1"/>
  <c r="D81" i="3" s="1"/>
  <c r="D83" i="3" s="1"/>
  <c r="D85" i="3" s="1"/>
  <c r="D87" i="3" s="1"/>
  <c r="D89" i="3" s="1"/>
  <c r="D91" i="3" s="1"/>
  <c r="D93" i="3" s="1"/>
  <c r="D95" i="3" s="1"/>
  <c r="D97" i="3" s="1"/>
  <c r="D99" i="3" s="1"/>
  <c r="D101" i="3" s="1"/>
  <c r="D103" i="3" s="1"/>
  <c r="D105" i="3" s="1"/>
  <c r="D107" i="3" s="1"/>
  <c r="D109" i="3" s="1"/>
  <c r="D111" i="3" s="1"/>
  <c r="D113" i="3" s="1"/>
  <c r="D115" i="3" s="1"/>
  <c r="D117" i="3" s="1"/>
  <c r="D119" i="3" s="1"/>
  <c r="D121" i="3" s="1"/>
  <c r="D123" i="3" s="1"/>
  <c r="D125" i="3" s="1"/>
  <c r="D127" i="3" s="1"/>
  <c r="D129" i="3" s="1"/>
  <c r="D131" i="3" s="1"/>
  <c r="D133" i="3" s="1"/>
  <c r="D135" i="3" s="1"/>
  <c r="D137" i="3" s="1"/>
  <c r="D139" i="3" s="1"/>
  <c r="D141" i="3" s="1"/>
  <c r="D143" i="3" s="1"/>
  <c r="D145" i="3" s="1"/>
  <c r="D147" i="3" s="1"/>
  <c r="D149" i="3" s="1"/>
  <c r="D151" i="3" s="1"/>
  <c r="D153" i="3" s="1"/>
  <c r="D155" i="3" s="1"/>
  <c r="D157" i="3" s="1"/>
  <c r="D159" i="3" s="1"/>
  <c r="D161" i="3" s="1"/>
  <c r="D163" i="3" s="1"/>
  <c r="D165" i="3" s="1"/>
  <c r="D167" i="3" s="1"/>
  <c r="D169" i="3" s="1"/>
  <c r="D171" i="3" s="1"/>
  <c r="D173" i="3" s="1"/>
  <c r="D175" i="3" s="1"/>
  <c r="D177" i="3" s="1"/>
  <c r="D179" i="3" s="1"/>
  <c r="D181" i="3" s="1"/>
  <c r="D183" i="3" s="1"/>
  <c r="D185" i="3" s="1"/>
  <c r="D29" i="2"/>
  <c r="D31" i="2"/>
  <c r="D33" i="2"/>
  <c r="D35" i="2"/>
  <c r="D37" i="2" s="1"/>
  <c r="D39" i="2" s="1"/>
  <c r="D41" i="2" s="1"/>
  <c r="D43" i="2" s="1"/>
  <c r="D45" i="2" s="1"/>
  <c r="D47" i="2" s="1"/>
  <c r="D49" i="2" s="1"/>
  <c r="D51" i="2" s="1"/>
  <c r="D53" i="2" s="1"/>
  <c r="D55" i="2" s="1"/>
  <c r="D57" i="2" s="1"/>
  <c r="D59" i="2" s="1"/>
  <c r="D61" i="2" s="1"/>
  <c r="D63" i="2" s="1"/>
  <c r="D65" i="2" s="1"/>
  <c r="D67" i="2" s="1"/>
  <c r="D69" i="2" s="1"/>
  <c r="D71" i="2" s="1"/>
  <c r="D73" i="2" s="1"/>
  <c r="D75" i="2" s="1"/>
  <c r="D77" i="2" s="1"/>
  <c r="D79" i="2" s="1"/>
  <c r="D81" i="2" s="1"/>
  <c r="D83" i="2" s="1"/>
  <c r="D85" i="2" s="1"/>
  <c r="D87" i="2" s="1"/>
  <c r="D89" i="2" s="1"/>
  <c r="D91" i="2" s="1"/>
  <c r="D93" i="2" s="1"/>
  <c r="D95" i="2" s="1"/>
  <c r="D97" i="2" s="1"/>
  <c r="D99" i="2" s="1"/>
  <c r="D101" i="2" s="1"/>
  <c r="D103" i="2" s="1"/>
  <c r="D105" i="2" s="1"/>
  <c r="D107" i="2" s="1"/>
  <c r="D109" i="2" s="1"/>
  <c r="D111" i="2" s="1"/>
  <c r="D113" i="2" s="1"/>
  <c r="D115" i="2" s="1"/>
  <c r="D117" i="2" s="1"/>
  <c r="D119" i="2" s="1"/>
  <c r="D121" i="2" s="1"/>
  <c r="D123" i="2" s="1"/>
  <c r="D125" i="2" s="1"/>
  <c r="D127" i="2" s="1"/>
  <c r="D129" i="2" s="1"/>
  <c r="D131" i="2" s="1"/>
  <c r="D133" i="2" s="1"/>
  <c r="D135" i="2" s="1"/>
  <c r="D137" i="2" s="1"/>
  <c r="D139" i="2" s="1"/>
  <c r="D141" i="2" s="1"/>
  <c r="D143" i="2" s="1"/>
  <c r="D145" i="2" s="1"/>
  <c r="D147" i="2" s="1"/>
  <c r="D149" i="2" s="1"/>
  <c r="D151" i="2" s="1"/>
  <c r="D153" i="2" s="1"/>
  <c r="D155" i="2" s="1"/>
  <c r="D157" i="2" s="1"/>
  <c r="D159" i="2" s="1"/>
  <c r="D161" i="2" s="1"/>
  <c r="D163" i="2" s="1"/>
  <c r="D165" i="2" s="1"/>
  <c r="D167" i="2" s="1"/>
  <c r="D169" i="2" s="1"/>
  <c r="D171" i="2" s="1"/>
  <c r="D173" i="2" s="1"/>
  <c r="D175" i="2" s="1"/>
  <c r="D177" i="2" s="1"/>
  <c r="D179" i="2" s="1"/>
  <c r="D181" i="2" s="1"/>
  <c r="D183" i="2" s="1"/>
  <c r="D185" i="2" s="1"/>
  <c r="D187" i="2"/>
  <c r="D189" i="2"/>
  <c r="D191" i="2"/>
  <c r="D193" i="2"/>
  <c r="D195" i="2"/>
  <c r="D197" i="2"/>
  <c r="D199" i="2"/>
  <c r="D201" i="2"/>
  <c r="D203" i="2"/>
  <c r="D205" i="2"/>
  <c r="D7" i="2"/>
  <c r="D9" i="2" s="1"/>
  <c r="D11" i="2" s="1"/>
  <c r="D13" i="2" s="1"/>
  <c r="D15" i="2" s="1"/>
  <c r="D17" i="2" s="1"/>
  <c r="D19" i="2" s="1"/>
  <c r="D21" i="2" s="1"/>
  <c r="D23" i="2" s="1"/>
  <c r="D25" i="2" s="1"/>
  <c r="D27" i="2" s="1"/>
  <c r="G14" i="5" l="1"/>
  <c r="D14" i="5"/>
  <c r="F14" i="5" s="1"/>
  <c r="G13" i="5"/>
  <c r="G12" i="5"/>
  <c r="D13" i="5"/>
  <c r="F13" i="5" s="1"/>
  <c r="F15" i="5" s="1"/>
  <c r="F12" i="5"/>
  <c r="D32" i="5"/>
  <c r="F32" i="5" s="1"/>
  <c r="G31" i="5"/>
  <c r="F30" i="5"/>
  <c r="F33" i="5" s="1"/>
  <c r="G30" i="5"/>
  <c r="D31" i="5"/>
  <c r="F31" i="5" s="1"/>
  <c r="F29" i="5"/>
  <c r="G29" i="5"/>
  <c r="D30" i="5"/>
</calcChain>
</file>

<file path=xl/sharedStrings.xml><?xml version="1.0" encoding="utf-8"?>
<sst xmlns="http://schemas.openxmlformats.org/spreadsheetml/2006/main" count="202" uniqueCount="47">
  <si>
    <r>
      <t>sa</t>
    </r>
    <r>
      <rPr>
        <sz val="10"/>
        <color rgb="FF000000"/>
        <rFont val="Helvetica"/>
        <family val="2"/>
      </rPr>
      <t> : swap a - intercambia los dos primeros elementos encima del stack a. No hace nada si hay uno o menos elementos.</t>
    </r>
  </si>
  <si>
    <r>
      <t>sb</t>
    </r>
    <r>
      <rPr>
        <sz val="10"/>
        <color rgb="FF000000"/>
        <rFont val="Helvetica"/>
        <family val="2"/>
      </rPr>
      <t> : swap b - intercambia los dos primeros elementos encima del stack b. No hace nada si hay uno o menos elementos.</t>
    </r>
  </si>
  <si>
    <r>
      <t>ss</t>
    </r>
    <r>
      <rPr>
        <sz val="10"/>
        <color rgb="FF000000"/>
        <rFont val="Helvetica"/>
        <family val="2"/>
      </rPr>
      <t> : swap a y swap b a la vez.</t>
    </r>
  </si>
  <si>
    <r>
      <t>pa</t>
    </r>
    <r>
      <rPr>
        <sz val="10"/>
        <color rgb="FF000000"/>
        <rFont val="Helvetica"/>
        <family val="2"/>
      </rPr>
      <t> : push a - toma el primer elemento del stack b y lo pone encima del stack a. No hace nada si b está vacío.</t>
    </r>
  </si>
  <si>
    <r>
      <t>pb</t>
    </r>
    <r>
      <rPr>
        <sz val="10"/>
        <color rgb="FF000000"/>
        <rFont val="Helvetica"/>
        <family val="2"/>
      </rPr>
      <t> : push b - toma el primer elemento del stack a y lo pone encima del stack b. No hace nada si a está vacío.</t>
    </r>
  </si>
  <si>
    <r>
      <t>ra</t>
    </r>
    <r>
      <rPr>
        <sz val="10"/>
        <color rgb="FF000000"/>
        <rFont val="Helvetica"/>
        <family val="2"/>
      </rPr>
      <t> : rotate a - desplaza hacia arriba todos los elementos del stack a una posición, de forma que el primer elemento se convierte en el último.</t>
    </r>
  </si>
  <si>
    <r>
      <t>rb</t>
    </r>
    <r>
      <rPr>
        <sz val="10"/>
        <color rgb="FF000000"/>
        <rFont val="Helvetica"/>
        <family val="2"/>
      </rPr>
      <t> : rotate b - desplaza hacia arriba todos los elementos del stack b una posición, de forma que el primer elemento se convierte en el último.</t>
    </r>
  </si>
  <si>
    <r>
      <t>rr</t>
    </r>
    <r>
      <rPr>
        <sz val="10"/>
        <color rgb="FF000000"/>
        <rFont val="Helvetica"/>
        <family val="2"/>
      </rPr>
      <t> : rotate a y rotate b - desplaza al mismo tiempo todos los elementos del stack a y del stack b una posición hacia arriba, de forma que el primer elemento se convierte en el último.</t>
    </r>
  </si>
  <si>
    <r>
      <t>rra</t>
    </r>
    <r>
      <rPr>
        <sz val="10"/>
        <color rgb="FF000000"/>
        <rFont val="Helvetica"/>
        <family val="2"/>
      </rPr>
      <t> : reverse rotate a - desplaza hacia abajo todos los elementos del stack a una posición, de forma que el último elemento se convierte en el primero.</t>
    </r>
  </si>
  <si>
    <r>
      <t>rrb</t>
    </r>
    <r>
      <rPr>
        <sz val="10"/>
        <color rgb="FF000000"/>
        <rFont val="Helvetica"/>
        <family val="2"/>
      </rPr>
      <t> : reverse rotate b - desplaza hacia abajo todos los elementos del stack b una posición, de forma que el último elemento se convierte en el primero.</t>
    </r>
  </si>
  <si>
    <r>
      <t>rrr</t>
    </r>
    <r>
      <rPr>
        <sz val="10"/>
        <color rgb="FF000000"/>
        <rFont val="Helvetica"/>
        <family val="2"/>
      </rPr>
      <t> : reverse rotate a y reverse rotate b - desplaza al mismo tiempo todos los elementos del stack a y del stack b una posición hacia abajo, de forma que el último elemento se convierte en el primero.</t>
    </r>
  </si>
  <si>
    <t>Inicio</t>
  </si>
  <si>
    <t>ra</t>
  </si>
  <si>
    <t>pb</t>
  </si>
  <si>
    <t>rb</t>
  </si>
  <si>
    <t>pa</t>
  </si>
  <si>
    <t>rrb</t>
  </si>
  <si>
    <t>sb</t>
  </si>
  <si>
    <t>sa</t>
  </si>
  <si>
    <t>rra</t>
  </si>
  <si>
    <t>Hasta que en B queden ordenados decrecientemente.</t>
  </si>
  <si>
    <t>Pasamos de B a A los del tramo1, comenzando por el mayor: 5</t>
  </si>
  <si>
    <t>Separamos el tramo2, va de A a B</t>
  </si>
  <si>
    <t>Separamos el tramo1, va de A a B</t>
  </si>
  <si>
    <t>Pasamos de B a A los del tramo2, comenzando por el mayor: 10</t>
  </si>
  <si>
    <t>Separamos el tramo3, va de A a B</t>
  </si>
  <si>
    <t>Pasamos de B a A los del tramo2, comenzando por el mayor: 15</t>
  </si>
  <si>
    <t>Último tramo, se llevan de A a B comenzando por el menor: 16</t>
  </si>
  <si>
    <t>Hasta que en A queden ordenados</t>
  </si>
  <si>
    <t>Fin: quedarán ordenados en A</t>
  </si>
  <si>
    <t>Se llevan todos los de B a A con pa, pa, pa, …</t>
  </si>
  <si>
    <t>n</t>
  </si>
  <si>
    <t>primero</t>
  </si>
  <si>
    <t>segundo</t>
  </si>
  <si>
    <t>mejora</t>
  </si>
  <si>
    <t>s</t>
  </si>
  <si>
    <t>tramo</t>
  </si>
  <si>
    <t>ancho</t>
  </si>
  <si>
    <t>fin</t>
  </si>
  <si>
    <t>inicio</t>
  </si>
  <si>
    <t>restantes en A</t>
  </si>
  <si>
    <t>enteros</t>
  </si>
  <si>
    <t>parte entera de n/s</t>
  </si>
  <si>
    <t>cuántos números hay en cada tramo</t>
  </si>
  <si>
    <t>n/s</t>
  </si>
  <si>
    <t>número de tramos en los que dividir nuestro trabajo</t>
  </si>
  <si>
    <t>números totales, inicialmente todos en 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</si>
</sst>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2"/>
      <color theme="1"/>
      <name val="Calibri"/>
      <family val="2"/>
      <scheme val="minor"/>
    </font>
    <font>
      <b/>
      <sz val="10"/>
      <color rgb="FF000000"/>
      <name val="Helvetica"/>
      <family val="2"/>
    </font>
    <font>
      <sz val="10"/>
      <color rgb="FF000000"/>
      <name val="Helvetica"/>
      <family val="2"/>
    </font>
    <font>
      <i/>
      <sz val="8"/>
      <color theme="1"/>
      <name val="Cambria"/>
      <family val="1"/>
    </font>
    <font>
      <sz val="12"/>
      <color rgb="FF000000"/>
      <name val="Calibri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Arial"/>
      <family val="2"/>
      <charset val="1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2FC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B66C"/>
        <bgColor rgb="FFFFCC00"/>
      </patternFill>
    </fill>
    <fill>
      <patternFill patternType="solid">
        <fgColor rgb="FF81D41A"/>
        <bgColor rgb="FF999999"/>
      </patternFill>
    </fill>
    <fill>
      <patternFill patternType="solid">
        <fgColor rgb="FFE8F2A1"/>
        <bgColor rgb="FFCCFFCC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9" fontId="5" fillId="0" borderId="0" applyFont="0" applyFill="0" applyBorder="0" applyAlignment="0" applyProtection="0"/>
    <xf numFmtId="0" fontId="7" fillId="0" borderId="0"/>
  </cellStyleXfs>
  <cellXfs count="29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3" fillId="0" borderId="0" xfId="0" applyFont="1" applyAlignment="1">
      <alignment horizontal="center" vertical="center"/>
    </xf>
    <xf numFmtId="0" fontId="0" fillId="0" borderId="1" xfId="0" applyBorder="1"/>
    <xf numFmtId="0" fontId="0" fillId="2" borderId="0" xfId="0" applyFill="1"/>
    <xf numFmtId="0" fontId="0" fillId="2" borderId="1" xfId="0" applyFill="1" applyBorder="1"/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  <xf numFmtId="0" fontId="0" fillId="8" borderId="1" xfId="0" applyFill="1" applyBorder="1"/>
    <xf numFmtId="0" fontId="6" fillId="0" borderId="0" xfId="0" applyFont="1" applyAlignment="1">
      <alignment horizontal="center"/>
    </xf>
    <xf numFmtId="9" fontId="0" fillId="0" borderId="0" xfId="1" applyFont="1"/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7" fillId="0" borderId="0" xfId="2"/>
    <xf numFmtId="0" fontId="7" fillId="9" borderId="1" xfId="2" applyFill="1" applyBorder="1"/>
    <xf numFmtId="0" fontId="7" fillId="0" borderId="1" xfId="2" applyBorder="1"/>
    <xf numFmtId="0" fontId="7" fillId="10" borderId="1" xfId="2" applyFill="1" applyBorder="1"/>
    <xf numFmtId="0" fontId="7" fillId="11" borderId="1" xfId="2" applyFill="1" applyBorder="1"/>
    <xf numFmtId="0" fontId="7" fillId="0" borderId="1" xfId="2" applyBorder="1" applyAlignment="1">
      <alignment horizontal="center" wrapText="1"/>
    </xf>
    <xf numFmtId="0" fontId="7" fillId="0" borderId="1" xfId="2" applyBorder="1" applyAlignment="1">
      <alignment horizontal="center"/>
    </xf>
    <xf numFmtId="0" fontId="7" fillId="11" borderId="0" xfId="2" applyFill="1"/>
    <xf numFmtId="0" fontId="1" fillId="0" borderId="0" xfId="2" applyFont="1"/>
    <xf numFmtId="0" fontId="7" fillId="0" borderId="4" xfId="2" applyBorder="1"/>
  </cellXfs>
  <cellStyles count="3">
    <cellStyle name="Normal" xfId="0" builtinId="0"/>
    <cellStyle name="Normal 2" xfId="2" xr:uid="{D72884E1-6CD3-4AB4-A847-9560F9299BC4}"/>
    <cellStyle name="Porcentaje" xfId="1" builtinId="5"/>
  </cellStyles>
  <dxfs count="43"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</dxfs>
  <tableStyles count="0" defaultTableStyle="TableStyleMedium2" defaultPivotStyle="PivotStyleLight16"/>
  <colors>
    <mruColors>
      <color rgb="FFFFCCFF"/>
      <color rgb="FFC2FCFF"/>
      <color rgb="FFFFF69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Spin" dx="15" fmlaLink="$A$2" max="20" min="1" page="10" val="2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277586</xdr:colOff>
          <xdr:row>3</xdr:row>
          <xdr:rowOff>0</xdr:rowOff>
        </xdr:from>
        <xdr:to>
          <xdr:col>2</xdr:col>
          <xdr:colOff>10886</xdr:colOff>
          <xdr:row>4</xdr:row>
          <xdr:rowOff>10886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10886</xdr:colOff>
          <xdr:row>4</xdr:row>
          <xdr:rowOff>0</xdr:rowOff>
        </xdr:from>
        <xdr:to>
          <xdr:col>3</xdr:col>
          <xdr:colOff>10886</xdr:colOff>
          <xdr:row>5</xdr:row>
          <xdr:rowOff>10886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293914</xdr:colOff>
          <xdr:row>4</xdr:row>
          <xdr:rowOff>10886</xdr:rowOff>
        </xdr:from>
        <xdr:to>
          <xdr:col>2</xdr:col>
          <xdr:colOff>10886</xdr:colOff>
          <xdr:row>5</xdr:row>
          <xdr:rowOff>10886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10886</xdr:colOff>
          <xdr:row>3</xdr:row>
          <xdr:rowOff>27214</xdr:rowOff>
        </xdr:from>
        <xdr:to>
          <xdr:col>3</xdr:col>
          <xdr:colOff>10886</xdr:colOff>
          <xdr:row>4</xdr:row>
          <xdr:rowOff>10886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10886</xdr:colOff>
          <xdr:row>3</xdr:row>
          <xdr:rowOff>10886</xdr:rowOff>
        </xdr:from>
        <xdr:to>
          <xdr:col>4</xdr:col>
          <xdr:colOff>0</xdr:colOff>
          <xdr:row>4</xdr:row>
          <xdr:rowOff>10886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10886</xdr:colOff>
          <xdr:row>4</xdr:row>
          <xdr:rowOff>27214</xdr:rowOff>
        </xdr:from>
        <xdr:to>
          <xdr:col>4</xdr:col>
          <xdr:colOff>10886</xdr:colOff>
          <xdr:row>5</xdr:row>
          <xdr:rowOff>10886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10886</xdr:colOff>
          <xdr:row>4</xdr:row>
          <xdr:rowOff>10886</xdr:rowOff>
        </xdr:from>
        <xdr:to>
          <xdr:col>4</xdr:col>
          <xdr:colOff>293914</xdr:colOff>
          <xdr:row>5</xdr:row>
          <xdr:rowOff>10886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rrb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201386</xdr:rowOff>
        </xdr:from>
        <xdr:to>
          <xdr:col>5</xdr:col>
          <xdr:colOff>0</xdr:colOff>
          <xdr:row>4</xdr:row>
          <xdr:rowOff>10886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65314</xdr:rowOff>
        </xdr:from>
        <xdr:to>
          <xdr:col>2</xdr:col>
          <xdr:colOff>293914</xdr:colOff>
          <xdr:row>2</xdr:row>
          <xdr:rowOff>152400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Inicio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27214</xdr:colOff>
          <xdr:row>1</xdr:row>
          <xdr:rowOff>65314</xdr:rowOff>
        </xdr:from>
        <xdr:to>
          <xdr:col>4</xdr:col>
          <xdr:colOff>277586</xdr:colOff>
          <xdr:row>2</xdr:row>
          <xdr:rowOff>179614</xdr:rowOff>
        </xdr:to>
        <xdr:sp macro="" textlink="">
          <xdr:nvSpPr>
            <xdr:cNvPr id="2058" name="Spinner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1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84EA61-7BB6-3E4E-BCC9-97637D113FE7}">
  <sheetPr codeName="Sheet1"/>
  <dimension ref="A1"/>
  <sheetViews>
    <sheetView zoomScale="200" zoomScaleNormal="200" workbookViewId="0"/>
  </sheetViews>
  <sheetFormatPr baseColWidth="10" defaultColWidth="3.85546875" defaultRowHeight="15.9" x14ac:dyDescent="0.45"/>
  <sheetData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2623FA-F989-2A44-955F-8ACAD691EE0D}">
  <sheetPr codeName="Sheet2"/>
  <dimension ref="A1:AA206"/>
  <sheetViews>
    <sheetView showGridLines="0" tabSelected="1" zoomScale="130" zoomScaleNormal="130" workbookViewId="0"/>
  </sheetViews>
  <sheetFormatPr baseColWidth="10" defaultColWidth="3.85546875" defaultRowHeight="15.9" x14ac:dyDescent="0.45"/>
  <cols>
    <col min="5" max="5" width="3.85546875" customWidth="1"/>
    <col min="12" max="12" width="3.85546875" style="3" customWidth="1"/>
  </cols>
  <sheetData>
    <row r="1" spans="1:27" x14ac:dyDescent="0.45">
      <c r="B1" s="2"/>
      <c r="C1" s="2"/>
      <c r="D1" s="2"/>
      <c r="E1" s="2"/>
    </row>
    <row r="2" spans="1:27" x14ac:dyDescent="0.45">
      <c r="A2" s="5">
        <v>20</v>
      </c>
      <c r="B2" s="2"/>
      <c r="C2" s="2"/>
      <c r="D2" s="2"/>
      <c r="E2" s="2"/>
      <c r="AA2" s="1" t="s">
        <v>0</v>
      </c>
    </row>
    <row r="3" spans="1:27" x14ac:dyDescent="0.45">
      <c r="D3" s="2"/>
      <c r="L3"/>
      <c r="AA3" s="1" t="s">
        <v>1</v>
      </c>
    </row>
    <row r="4" spans="1:27" x14ac:dyDescent="0.45">
      <c r="F4" s="4">
        <v>1</v>
      </c>
      <c r="G4" s="4">
        <v>2</v>
      </c>
      <c r="H4" s="4">
        <v>3</v>
      </c>
      <c r="I4" s="4">
        <v>4</v>
      </c>
      <c r="J4" s="4">
        <v>5</v>
      </c>
      <c r="K4" s="4">
        <v>6</v>
      </c>
      <c r="L4" s="4">
        <v>7</v>
      </c>
      <c r="M4" s="4">
        <v>8</v>
      </c>
      <c r="N4" s="4">
        <v>9</v>
      </c>
      <c r="O4" s="4">
        <v>10</v>
      </c>
      <c r="P4" s="4">
        <v>11</v>
      </c>
      <c r="Q4" s="4">
        <v>12</v>
      </c>
      <c r="R4" s="4">
        <v>13</v>
      </c>
      <c r="S4" s="4">
        <v>14</v>
      </c>
      <c r="T4" s="4">
        <v>15</v>
      </c>
      <c r="U4" s="4">
        <v>16</v>
      </c>
      <c r="V4" s="4">
        <v>17</v>
      </c>
      <c r="W4" s="4">
        <v>18</v>
      </c>
      <c r="X4" s="4">
        <v>19</v>
      </c>
      <c r="Y4" s="4">
        <v>20</v>
      </c>
      <c r="AA4" s="1" t="s">
        <v>2</v>
      </c>
    </row>
    <row r="5" spans="1:27" x14ac:dyDescent="0.45">
      <c r="F5" s="4">
        <v>0</v>
      </c>
      <c r="G5" s="4">
        <v>0</v>
      </c>
      <c r="H5" s="4">
        <v>0</v>
      </c>
      <c r="I5" s="4">
        <v>0</v>
      </c>
      <c r="J5" s="4">
        <v>0</v>
      </c>
      <c r="K5" s="4">
        <v>0</v>
      </c>
      <c r="L5" s="4">
        <v>0</v>
      </c>
      <c r="M5" s="4">
        <v>0</v>
      </c>
      <c r="N5" s="4">
        <v>0</v>
      </c>
      <c r="O5" s="4">
        <v>0</v>
      </c>
      <c r="P5" s="4">
        <v>0</v>
      </c>
      <c r="Q5" s="4">
        <v>0</v>
      </c>
      <c r="R5" s="4">
        <v>0</v>
      </c>
      <c r="S5" s="4">
        <v>0</v>
      </c>
      <c r="T5" s="4">
        <v>0</v>
      </c>
      <c r="U5" s="4">
        <v>0</v>
      </c>
      <c r="V5" s="4">
        <v>0</v>
      </c>
      <c r="W5" s="4">
        <v>0</v>
      </c>
      <c r="X5" s="4">
        <v>0</v>
      </c>
      <c r="Y5" s="4">
        <v>0</v>
      </c>
      <c r="AA5" s="1" t="s">
        <v>3</v>
      </c>
    </row>
    <row r="6" spans="1:27" ht="16.3" thickBot="1" x14ac:dyDescent="0.5">
      <c r="L6"/>
      <c r="AA6" s="1" t="s">
        <v>4</v>
      </c>
    </row>
    <row r="7" spans="1:27" ht="16" customHeight="1" x14ac:dyDescent="0.45">
      <c r="D7" s="17">
        <f>IF(SUM(F7:K8)&gt;0,0,"")</f>
        <v>0</v>
      </c>
      <c r="E7" s="17" t="s">
        <v>11</v>
      </c>
      <c r="F7" s="4">
        <v>18</v>
      </c>
      <c r="G7" s="4">
        <v>17</v>
      </c>
      <c r="H7" s="4">
        <v>20</v>
      </c>
      <c r="I7" s="4">
        <v>19</v>
      </c>
      <c r="J7" s="6">
        <v>16</v>
      </c>
      <c r="K7" s="4">
        <v>0</v>
      </c>
      <c r="L7" s="4">
        <v>0</v>
      </c>
      <c r="M7" s="4">
        <v>0</v>
      </c>
      <c r="N7" s="4">
        <v>0</v>
      </c>
      <c r="O7" s="4">
        <v>0</v>
      </c>
      <c r="P7" s="4">
        <v>0</v>
      </c>
      <c r="Q7" s="4">
        <v>0</v>
      </c>
      <c r="R7" s="4">
        <v>0</v>
      </c>
      <c r="S7" s="4">
        <v>0</v>
      </c>
      <c r="T7" s="4">
        <v>0</v>
      </c>
      <c r="U7" s="4">
        <v>0</v>
      </c>
      <c r="V7" s="4">
        <v>0</v>
      </c>
      <c r="W7" s="4">
        <v>0</v>
      </c>
      <c r="X7" s="4">
        <v>0</v>
      </c>
      <c r="Y7" s="4">
        <v>0</v>
      </c>
      <c r="AA7" s="1" t="s">
        <v>5</v>
      </c>
    </row>
    <row r="8" spans="1:27" ht="16.3" thickBot="1" x14ac:dyDescent="0.5">
      <c r="D8" s="18"/>
      <c r="E8" s="18"/>
      <c r="F8" s="4">
        <v>15</v>
      </c>
      <c r="G8" s="4">
        <v>14</v>
      </c>
      <c r="H8" s="4">
        <v>13</v>
      </c>
      <c r="I8" s="4">
        <v>12</v>
      </c>
      <c r="J8" s="4">
        <v>11</v>
      </c>
      <c r="K8" s="4">
        <v>10</v>
      </c>
      <c r="L8" s="4">
        <v>9</v>
      </c>
      <c r="M8" s="4">
        <v>8</v>
      </c>
      <c r="N8" s="4">
        <v>7</v>
      </c>
      <c r="O8" s="4">
        <v>6</v>
      </c>
      <c r="P8" s="4">
        <v>5</v>
      </c>
      <c r="Q8" s="4">
        <v>4</v>
      </c>
      <c r="R8" s="4">
        <v>3</v>
      </c>
      <c r="S8" s="4">
        <v>2</v>
      </c>
      <c r="T8" s="4">
        <v>1</v>
      </c>
      <c r="U8" s="4">
        <v>0</v>
      </c>
      <c r="V8" s="4">
        <v>0</v>
      </c>
      <c r="W8" s="4">
        <v>0</v>
      </c>
      <c r="X8" s="4">
        <v>0</v>
      </c>
      <c r="Y8" s="4">
        <v>0</v>
      </c>
      <c r="AA8" s="1" t="s">
        <v>6</v>
      </c>
    </row>
    <row r="9" spans="1:27" ht="16" customHeight="1" x14ac:dyDescent="0.45">
      <c r="D9" s="17">
        <f>IF(SUM(F9:K10)&gt;0,D7+1,"")</f>
        <v>1</v>
      </c>
      <c r="E9" s="15" t="s">
        <v>19</v>
      </c>
      <c r="F9" s="6">
        <v>16</v>
      </c>
      <c r="G9" s="4">
        <v>18</v>
      </c>
      <c r="H9" s="4">
        <v>17</v>
      </c>
      <c r="I9" s="4">
        <v>20</v>
      </c>
      <c r="J9" s="4">
        <v>19</v>
      </c>
      <c r="K9" s="4">
        <v>0</v>
      </c>
      <c r="L9" s="4">
        <v>0</v>
      </c>
      <c r="M9" s="4">
        <v>0</v>
      </c>
      <c r="N9" s="4">
        <v>0</v>
      </c>
      <c r="O9" s="4">
        <v>0</v>
      </c>
      <c r="P9" s="4">
        <v>0</v>
      </c>
      <c r="Q9" s="4">
        <v>0</v>
      </c>
      <c r="R9" s="4">
        <v>0</v>
      </c>
      <c r="S9" s="4">
        <v>0</v>
      </c>
      <c r="T9" s="4">
        <v>0</v>
      </c>
      <c r="U9" s="4">
        <v>0</v>
      </c>
      <c r="V9" s="4">
        <v>0</v>
      </c>
      <c r="W9" s="4">
        <v>0</v>
      </c>
      <c r="X9" s="4">
        <v>0</v>
      </c>
      <c r="Y9" s="4">
        <v>0</v>
      </c>
      <c r="AA9" s="1" t="s">
        <v>7</v>
      </c>
    </row>
    <row r="10" spans="1:27" ht="16.3" thickBot="1" x14ac:dyDescent="0.5">
      <c r="D10" s="18"/>
      <c r="E10" s="16"/>
      <c r="F10" s="4">
        <v>15</v>
      </c>
      <c r="G10" s="4">
        <v>14</v>
      </c>
      <c r="H10" s="4">
        <v>13</v>
      </c>
      <c r="I10" s="4">
        <v>12</v>
      </c>
      <c r="J10" s="4">
        <v>11</v>
      </c>
      <c r="K10" s="4">
        <v>10</v>
      </c>
      <c r="L10" s="4">
        <v>9</v>
      </c>
      <c r="M10" s="4">
        <v>8</v>
      </c>
      <c r="N10" s="4">
        <v>7</v>
      </c>
      <c r="O10" s="4">
        <v>6</v>
      </c>
      <c r="P10" s="4">
        <v>5</v>
      </c>
      <c r="Q10" s="4">
        <v>4</v>
      </c>
      <c r="R10" s="4">
        <v>3</v>
      </c>
      <c r="S10" s="4">
        <v>2</v>
      </c>
      <c r="T10" s="4">
        <v>1</v>
      </c>
      <c r="U10" s="4">
        <v>0</v>
      </c>
      <c r="V10" s="4">
        <v>0</v>
      </c>
      <c r="W10" s="4">
        <v>0</v>
      </c>
      <c r="X10" s="4">
        <v>0</v>
      </c>
      <c r="Y10" s="4">
        <v>0</v>
      </c>
      <c r="AA10" s="1" t="s">
        <v>8</v>
      </c>
    </row>
    <row r="11" spans="1:27" x14ac:dyDescent="0.45">
      <c r="D11" s="17">
        <f>IF(SUM(F11:K12)&gt;0,D9+1,"")</f>
        <v>2</v>
      </c>
      <c r="E11" s="15" t="s">
        <v>13</v>
      </c>
      <c r="F11" s="4">
        <v>18</v>
      </c>
      <c r="G11" s="10">
        <v>17</v>
      </c>
      <c r="H11" s="4">
        <v>20</v>
      </c>
      <c r="I11" s="4">
        <v>19</v>
      </c>
      <c r="J11" s="4">
        <v>0</v>
      </c>
      <c r="K11" s="4">
        <v>0</v>
      </c>
      <c r="L11" s="4">
        <v>0</v>
      </c>
      <c r="M11" s="4">
        <v>0</v>
      </c>
      <c r="N11" s="4">
        <v>0</v>
      </c>
      <c r="O11" s="4">
        <v>0</v>
      </c>
      <c r="P11" s="4">
        <v>0</v>
      </c>
      <c r="Q11" s="4">
        <v>0</v>
      </c>
      <c r="R11" s="4">
        <v>0</v>
      </c>
      <c r="S11" s="4">
        <v>0</v>
      </c>
      <c r="T11" s="4">
        <v>0</v>
      </c>
      <c r="U11" s="4">
        <v>0</v>
      </c>
      <c r="V11" s="4">
        <v>0</v>
      </c>
      <c r="W11" s="4">
        <v>0</v>
      </c>
      <c r="X11" s="4">
        <v>0</v>
      </c>
      <c r="Y11" s="4">
        <v>0</v>
      </c>
      <c r="AA11" s="1" t="s">
        <v>9</v>
      </c>
    </row>
    <row r="12" spans="1:27" ht="16.3" thickBot="1" x14ac:dyDescent="0.5">
      <c r="D12" s="18"/>
      <c r="E12" s="16"/>
      <c r="F12" s="6">
        <v>16</v>
      </c>
      <c r="G12" s="4">
        <v>15</v>
      </c>
      <c r="H12" s="4">
        <v>14</v>
      </c>
      <c r="I12" s="4">
        <v>13</v>
      </c>
      <c r="J12" s="4">
        <v>12</v>
      </c>
      <c r="K12" s="4">
        <v>11</v>
      </c>
      <c r="L12" s="4">
        <v>10</v>
      </c>
      <c r="M12" s="4">
        <v>9</v>
      </c>
      <c r="N12" s="4">
        <v>8</v>
      </c>
      <c r="O12" s="4">
        <v>7</v>
      </c>
      <c r="P12" s="4">
        <v>6</v>
      </c>
      <c r="Q12" s="4">
        <v>5</v>
      </c>
      <c r="R12" s="4">
        <v>4</v>
      </c>
      <c r="S12" s="4">
        <v>3</v>
      </c>
      <c r="T12" s="4">
        <v>2</v>
      </c>
      <c r="U12" s="4">
        <v>1</v>
      </c>
      <c r="V12" s="4">
        <v>0</v>
      </c>
      <c r="W12" s="4">
        <v>0</v>
      </c>
      <c r="X12" s="4">
        <v>0</v>
      </c>
      <c r="Y12" s="4">
        <v>0</v>
      </c>
      <c r="AA12" s="1" t="s">
        <v>10</v>
      </c>
    </row>
    <row r="13" spans="1:27" x14ac:dyDescent="0.45">
      <c r="D13" s="17">
        <f>IF(SUM(F13:K14)&gt;0,D11+1,"")</f>
        <v>3</v>
      </c>
      <c r="E13" s="15" t="s">
        <v>12</v>
      </c>
      <c r="F13" s="10">
        <v>17</v>
      </c>
      <c r="G13" s="4">
        <v>20</v>
      </c>
      <c r="H13" s="4">
        <v>19</v>
      </c>
      <c r="I13" s="4">
        <v>18</v>
      </c>
      <c r="J13" s="4">
        <v>0</v>
      </c>
      <c r="K13" s="4">
        <v>0</v>
      </c>
      <c r="L13" s="4">
        <v>0</v>
      </c>
      <c r="M13" s="4">
        <v>0</v>
      </c>
      <c r="N13" s="4">
        <v>0</v>
      </c>
      <c r="O13" s="4">
        <v>0</v>
      </c>
      <c r="P13" s="4">
        <v>0</v>
      </c>
      <c r="Q13" s="4">
        <v>0</v>
      </c>
      <c r="R13" s="4">
        <v>0</v>
      </c>
      <c r="S13" s="4">
        <v>0</v>
      </c>
      <c r="T13" s="4">
        <v>0</v>
      </c>
      <c r="U13" s="4">
        <v>0</v>
      </c>
      <c r="V13" s="4">
        <v>0</v>
      </c>
      <c r="W13" s="4">
        <v>0</v>
      </c>
      <c r="X13" s="4">
        <v>0</v>
      </c>
      <c r="Y13" s="4">
        <v>0</v>
      </c>
    </row>
    <row r="14" spans="1:27" ht="16.3" thickBot="1" x14ac:dyDescent="0.5">
      <c r="D14" s="18"/>
      <c r="E14" s="16"/>
      <c r="F14" s="4">
        <v>16</v>
      </c>
      <c r="G14" s="4">
        <v>15</v>
      </c>
      <c r="H14" s="4">
        <v>14</v>
      </c>
      <c r="I14" s="4">
        <v>13</v>
      </c>
      <c r="J14" s="4">
        <v>12</v>
      </c>
      <c r="K14" s="4">
        <v>11</v>
      </c>
      <c r="L14" s="4">
        <v>10</v>
      </c>
      <c r="M14" s="4">
        <v>9</v>
      </c>
      <c r="N14" s="4">
        <v>8</v>
      </c>
      <c r="O14" s="4">
        <v>7</v>
      </c>
      <c r="P14" s="4">
        <v>6</v>
      </c>
      <c r="Q14" s="4">
        <v>5</v>
      </c>
      <c r="R14" s="4">
        <v>4</v>
      </c>
      <c r="S14" s="4">
        <v>3</v>
      </c>
      <c r="T14" s="4">
        <v>2</v>
      </c>
      <c r="U14" s="4">
        <v>1</v>
      </c>
      <c r="V14" s="4">
        <v>0</v>
      </c>
      <c r="W14" s="4">
        <v>0</v>
      </c>
      <c r="X14" s="4">
        <v>0</v>
      </c>
      <c r="Y14" s="4">
        <v>0</v>
      </c>
    </row>
    <row r="15" spans="1:27" x14ac:dyDescent="0.45">
      <c r="D15" s="17">
        <f>IF(SUM(F15:K16)&gt;0,D13+1,"")</f>
        <v>4</v>
      </c>
      <c r="E15" s="15" t="s">
        <v>13</v>
      </c>
      <c r="F15" s="4">
        <v>20</v>
      </c>
      <c r="G15" s="4">
        <v>19</v>
      </c>
      <c r="H15" s="7">
        <v>18</v>
      </c>
      <c r="I15" s="4">
        <v>0</v>
      </c>
      <c r="J15" s="4">
        <v>0</v>
      </c>
      <c r="K15" s="4">
        <v>0</v>
      </c>
      <c r="L15" s="4">
        <v>0</v>
      </c>
      <c r="M15" s="4">
        <v>0</v>
      </c>
      <c r="N15" s="4">
        <v>0</v>
      </c>
      <c r="O15" s="4">
        <v>0</v>
      </c>
      <c r="P15" s="4">
        <v>0</v>
      </c>
      <c r="Q15" s="4">
        <v>0</v>
      </c>
      <c r="R15" s="4">
        <v>0</v>
      </c>
      <c r="S15" s="4">
        <v>0</v>
      </c>
      <c r="T15" s="4">
        <v>0</v>
      </c>
      <c r="U15" s="4">
        <v>0</v>
      </c>
      <c r="V15" s="4">
        <v>0</v>
      </c>
      <c r="W15" s="4">
        <v>0</v>
      </c>
      <c r="X15" s="4">
        <v>0</v>
      </c>
      <c r="Y15" s="4">
        <v>0</v>
      </c>
    </row>
    <row r="16" spans="1:27" ht="16.3" thickBot="1" x14ac:dyDescent="0.5">
      <c r="D16" s="18"/>
      <c r="E16" s="16"/>
      <c r="F16" s="10">
        <v>17</v>
      </c>
      <c r="G16" s="4">
        <v>16</v>
      </c>
      <c r="H16" s="4">
        <v>15</v>
      </c>
      <c r="I16" s="4">
        <v>14</v>
      </c>
      <c r="J16" s="4">
        <v>13</v>
      </c>
      <c r="K16" s="4">
        <v>12</v>
      </c>
      <c r="L16" s="4">
        <v>11</v>
      </c>
      <c r="M16" s="4">
        <v>10</v>
      </c>
      <c r="N16" s="4">
        <v>9</v>
      </c>
      <c r="O16" s="4">
        <v>8</v>
      </c>
      <c r="P16" s="4">
        <v>7</v>
      </c>
      <c r="Q16" s="4">
        <v>6</v>
      </c>
      <c r="R16" s="4">
        <v>5</v>
      </c>
      <c r="S16" s="4">
        <v>4</v>
      </c>
      <c r="T16" s="4">
        <v>3</v>
      </c>
      <c r="U16" s="4">
        <v>2</v>
      </c>
      <c r="V16" s="4">
        <v>1</v>
      </c>
      <c r="W16" s="4">
        <v>0</v>
      </c>
      <c r="X16" s="4">
        <v>0</v>
      </c>
      <c r="Y16" s="4">
        <v>0</v>
      </c>
    </row>
    <row r="17" spans="4:25" x14ac:dyDescent="0.45">
      <c r="D17" s="17">
        <f>IF(SUM(F17:K18)&gt;0,D15+1,"")</f>
        <v>5</v>
      </c>
      <c r="E17" s="15" t="s">
        <v>19</v>
      </c>
      <c r="F17" s="7">
        <v>18</v>
      </c>
      <c r="G17" s="4">
        <v>20</v>
      </c>
      <c r="H17" s="4">
        <v>19</v>
      </c>
      <c r="I17" s="4">
        <v>0</v>
      </c>
      <c r="J17" s="4">
        <v>0</v>
      </c>
      <c r="K17" s="4">
        <v>0</v>
      </c>
      <c r="L17" s="4">
        <v>0</v>
      </c>
      <c r="M17" s="4">
        <v>0</v>
      </c>
      <c r="N17" s="4">
        <v>0</v>
      </c>
      <c r="O17" s="4">
        <v>0</v>
      </c>
      <c r="P17" s="4">
        <v>0</v>
      </c>
      <c r="Q17" s="4">
        <v>0</v>
      </c>
      <c r="R17" s="4">
        <v>0</v>
      </c>
      <c r="S17" s="4">
        <v>0</v>
      </c>
      <c r="T17" s="4">
        <v>0</v>
      </c>
      <c r="U17" s="4">
        <v>0</v>
      </c>
      <c r="V17" s="4">
        <v>0</v>
      </c>
      <c r="W17" s="4">
        <v>0</v>
      </c>
      <c r="X17" s="4">
        <v>0</v>
      </c>
      <c r="Y17" s="4">
        <v>0</v>
      </c>
    </row>
    <row r="18" spans="4:25" ht="16.3" thickBot="1" x14ac:dyDescent="0.5">
      <c r="D18" s="18"/>
      <c r="E18" s="16"/>
      <c r="F18" s="4">
        <v>17</v>
      </c>
      <c r="G18" s="4">
        <v>16</v>
      </c>
      <c r="H18" s="4">
        <v>15</v>
      </c>
      <c r="I18" s="4">
        <v>14</v>
      </c>
      <c r="J18" s="4">
        <v>13</v>
      </c>
      <c r="K18" s="4">
        <v>12</v>
      </c>
      <c r="L18" s="4">
        <v>11</v>
      </c>
      <c r="M18" s="4">
        <v>10</v>
      </c>
      <c r="N18" s="4">
        <v>9</v>
      </c>
      <c r="O18" s="4">
        <v>8</v>
      </c>
      <c r="P18" s="4">
        <v>7</v>
      </c>
      <c r="Q18" s="4">
        <v>6</v>
      </c>
      <c r="R18" s="4">
        <v>5</v>
      </c>
      <c r="S18" s="4">
        <v>4</v>
      </c>
      <c r="T18" s="4">
        <v>3</v>
      </c>
      <c r="U18" s="4">
        <v>2</v>
      </c>
      <c r="V18" s="4">
        <v>1</v>
      </c>
      <c r="W18" s="4">
        <v>0</v>
      </c>
      <c r="X18" s="4">
        <v>0</v>
      </c>
      <c r="Y18" s="4">
        <v>0</v>
      </c>
    </row>
    <row r="19" spans="4:25" x14ac:dyDescent="0.45">
      <c r="D19" s="17">
        <f>IF(SUM(F19:K20)&gt;0,D17+1,"")</f>
        <v>6</v>
      </c>
      <c r="E19" s="15" t="s">
        <v>13</v>
      </c>
      <c r="F19" s="4">
        <v>20</v>
      </c>
      <c r="G19" s="4">
        <v>19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0</v>
      </c>
      <c r="N19" s="4">
        <v>0</v>
      </c>
      <c r="O19" s="4">
        <v>0</v>
      </c>
      <c r="P19" s="4">
        <v>0</v>
      </c>
      <c r="Q19" s="4">
        <v>0</v>
      </c>
      <c r="R19" s="4">
        <v>0</v>
      </c>
      <c r="S19" s="4">
        <v>0</v>
      </c>
      <c r="T19" s="4">
        <v>0</v>
      </c>
      <c r="U19" s="4">
        <v>0</v>
      </c>
      <c r="V19" s="4">
        <v>0</v>
      </c>
      <c r="W19" s="4">
        <v>0</v>
      </c>
      <c r="X19" s="4">
        <v>0</v>
      </c>
      <c r="Y19" s="4">
        <v>0</v>
      </c>
    </row>
    <row r="20" spans="4:25" ht="16.3" thickBot="1" x14ac:dyDescent="0.5">
      <c r="D20" s="18"/>
      <c r="E20" s="16"/>
      <c r="F20" s="7">
        <v>18</v>
      </c>
      <c r="G20" s="4">
        <v>17</v>
      </c>
      <c r="H20" s="4">
        <v>16</v>
      </c>
      <c r="I20" s="4">
        <v>15</v>
      </c>
      <c r="J20" s="4">
        <v>14</v>
      </c>
      <c r="K20" s="4">
        <v>13</v>
      </c>
      <c r="L20" s="4">
        <v>12</v>
      </c>
      <c r="M20" s="4">
        <v>11</v>
      </c>
      <c r="N20" s="4">
        <v>10</v>
      </c>
      <c r="O20" s="4">
        <v>9</v>
      </c>
      <c r="P20" s="4">
        <v>8</v>
      </c>
      <c r="Q20" s="4">
        <v>7</v>
      </c>
      <c r="R20" s="4">
        <v>6</v>
      </c>
      <c r="S20" s="4">
        <v>5</v>
      </c>
      <c r="T20" s="4">
        <v>4</v>
      </c>
      <c r="U20" s="4">
        <v>3</v>
      </c>
      <c r="V20" s="4">
        <v>2</v>
      </c>
      <c r="W20" s="4">
        <v>1</v>
      </c>
      <c r="X20" s="4">
        <v>0</v>
      </c>
      <c r="Y20" s="4">
        <v>0</v>
      </c>
    </row>
    <row r="21" spans="4:25" x14ac:dyDescent="0.45">
      <c r="D21" s="17">
        <f>IF(SUM(F21:K22)&gt;0,D19+1,"")</f>
        <v>7</v>
      </c>
      <c r="E21" s="15" t="s">
        <v>19</v>
      </c>
      <c r="F21" s="12">
        <v>19</v>
      </c>
      <c r="G21" s="12">
        <v>20</v>
      </c>
      <c r="H21" s="4">
        <v>0</v>
      </c>
      <c r="I21" s="4">
        <v>0</v>
      </c>
      <c r="J21" s="4">
        <v>0</v>
      </c>
      <c r="K21" s="4">
        <v>0</v>
      </c>
      <c r="L21" s="4">
        <v>0</v>
      </c>
      <c r="M21" s="4">
        <v>0</v>
      </c>
      <c r="N21" s="4">
        <v>0</v>
      </c>
      <c r="O21" s="4">
        <v>0</v>
      </c>
      <c r="P21" s="4">
        <v>0</v>
      </c>
      <c r="Q21" s="4">
        <v>0</v>
      </c>
      <c r="R21" s="4">
        <v>0</v>
      </c>
      <c r="S21" s="4">
        <v>0</v>
      </c>
      <c r="T21" s="4">
        <v>0</v>
      </c>
      <c r="U21" s="4">
        <v>0</v>
      </c>
      <c r="V21" s="4">
        <v>0</v>
      </c>
      <c r="W21" s="4">
        <v>0</v>
      </c>
      <c r="X21" s="4">
        <v>0</v>
      </c>
      <c r="Y21" s="4">
        <v>0</v>
      </c>
    </row>
    <row r="22" spans="4:25" ht="16.3" thickBot="1" x14ac:dyDescent="0.5">
      <c r="D22" s="18"/>
      <c r="E22" s="16"/>
      <c r="F22" s="4">
        <v>18</v>
      </c>
      <c r="G22" s="4">
        <v>17</v>
      </c>
      <c r="H22" s="4">
        <v>16</v>
      </c>
      <c r="I22" s="4">
        <v>15</v>
      </c>
      <c r="J22" s="4">
        <v>14</v>
      </c>
      <c r="K22" s="4">
        <v>13</v>
      </c>
      <c r="L22" s="4">
        <v>12</v>
      </c>
      <c r="M22" s="4">
        <v>11</v>
      </c>
      <c r="N22" s="4">
        <v>10</v>
      </c>
      <c r="O22" s="4">
        <v>9</v>
      </c>
      <c r="P22" s="4">
        <v>8</v>
      </c>
      <c r="Q22" s="4">
        <v>7</v>
      </c>
      <c r="R22" s="4">
        <v>6</v>
      </c>
      <c r="S22" s="4">
        <v>5</v>
      </c>
      <c r="T22" s="4">
        <v>4</v>
      </c>
      <c r="U22" s="4">
        <v>3</v>
      </c>
      <c r="V22" s="4">
        <v>2</v>
      </c>
      <c r="W22" s="4">
        <v>1</v>
      </c>
      <c r="X22" s="4">
        <v>0</v>
      </c>
      <c r="Y22" s="4">
        <v>0</v>
      </c>
    </row>
    <row r="23" spans="4:25" x14ac:dyDescent="0.45">
      <c r="D23" s="17">
        <f>IF(SUM(F23:K24)&gt;0,D21+1,"")</f>
        <v>8</v>
      </c>
      <c r="E23" s="15" t="s">
        <v>15</v>
      </c>
      <c r="F23" s="4">
        <v>18</v>
      </c>
      <c r="G23" s="4">
        <v>19</v>
      </c>
      <c r="H23" s="4">
        <v>20</v>
      </c>
      <c r="I23" s="4">
        <v>0</v>
      </c>
      <c r="J23" s="4">
        <v>0</v>
      </c>
      <c r="K23" s="4">
        <v>0</v>
      </c>
      <c r="L23" s="4">
        <v>0</v>
      </c>
      <c r="M23" s="4">
        <v>0</v>
      </c>
      <c r="N23" s="4">
        <v>0</v>
      </c>
      <c r="O23" s="4">
        <v>0</v>
      </c>
      <c r="P23" s="4">
        <v>0</v>
      </c>
      <c r="Q23" s="4">
        <v>0</v>
      </c>
      <c r="R23" s="4">
        <v>0</v>
      </c>
      <c r="S23" s="4">
        <v>0</v>
      </c>
      <c r="T23" s="4">
        <v>0</v>
      </c>
      <c r="U23" s="4">
        <v>0</v>
      </c>
      <c r="V23" s="4">
        <v>0</v>
      </c>
      <c r="W23" s="4">
        <v>0</v>
      </c>
      <c r="X23" s="4">
        <v>0</v>
      </c>
      <c r="Y23" s="4">
        <v>0</v>
      </c>
    </row>
    <row r="24" spans="4:25" ht="16.3" thickBot="1" x14ac:dyDescent="0.5">
      <c r="D24" s="18"/>
      <c r="E24" s="16"/>
      <c r="F24" s="4">
        <v>17</v>
      </c>
      <c r="G24" s="4">
        <v>16</v>
      </c>
      <c r="H24" s="4">
        <v>15</v>
      </c>
      <c r="I24" s="4">
        <v>14</v>
      </c>
      <c r="J24" s="4">
        <v>13</v>
      </c>
      <c r="K24" s="4">
        <v>12</v>
      </c>
      <c r="L24" s="4">
        <v>11</v>
      </c>
      <c r="M24" s="4">
        <v>10</v>
      </c>
      <c r="N24" s="4">
        <v>9</v>
      </c>
      <c r="O24" s="4">
        <v>8</v>
      </c>
      <c r="P24" s="4">
        <v>7</v>
      </c>
      <c r="Q24" s="4">
        <v>6</v>
      </c>
      <c r="R24" s="4">
        <v>5</v>
      </c>
      <c r="S24" s="4">
        <v>4</v>
      </c>
      <c r="T24" s="4">
        <v>3</v>
      </c>
      <c r="U24" s="4">
        <v>2</v>
      </c>
      <c r="V24" s="4">
        <v>1</v>
      </c>
      <c r="W24" s="4">
        <v>0</v>
      </c>
      <c r="X24" s="4">
        <v>0</v>
      </c>
      <c r="Y24" s="4">
        <v>0</v>
      </c>
    </row>
    <row r="25" spans="4:25" x14ac:dyDescent="0.45">
      <c r="D25" s="17">
        <f>IF(SUM(F25:K26)&gt;0,D23+1,"")</f>
        <v>9</v>
      </c>
      <c r="E25" s="15" t="s">
        <v>15</v>
      </c>
      <c r="F25" s="4">
        <v>17</v>
      </c>
      <c r="G25" s="4">
        <v>18</v>
      </c>
      <c r="H25" s="4">
        <v>19</v>
      </c>
      <c r="I25" s="4">
        <v>20</v>
      </c>
      <c r="J25" s="4">
        <v>0</v>
      </c>
      <c r="K25" s="4">
        <v>0</v>
      </c>
      <c r="L25" s="4">
        <v>0</v>
      </c>
      <c r="M25" s="4">
        <v>0</v>
      </c>
      <c r="N25" s="4">
        <v>0</v>
      </c>
      <c r="O25" s="4">
        <v>0</v>
      </c>
      <c r="P25" s="4">
        <v>0</v>
      </c>
      <c r="Q25" s="4">
        <v>0</v>
      </c>
      <c r="R25" s="4">
        <v>0</v>
      </c>
      <c r="S25" s="4">
        <v>0</v>
      </c>
      <c r="T25" s="4">
        <v>0</v>
      </c>
      <c r="U25" s="4">
        <v>0</v>
      </c>
      <c r="V25" s="4">
        <v>0</v>
      </c>
      <c r="W25" s="4">
        <v>0</v>
      </c>
      <c r="X25" s="4">
        <v>0</v>
      </c>
      <c r="Y25" s="4">
        <v>0</v>
      </c>
    </row>
    <row r="26" spans="4:25" ht="16.3" thickBot="1" x14ac:dyDescent="0.5">
      <c r="D26" s="18"/>
      <c r="E26" s="16"/>
      <c r="F26" s="4">
        <v>16</v>
      </c>
      <c r="G26" s="4">
        <v>15</v>
      </c>
      <c r="H26" s="4">
        <v>14</v>
      </c>
      <c r="I26" s="4">
        <v>13</v>
      </c>
      <c r="J26" s="4">
        <v>12</v>
      </c>
      <c r="K26" s="4">
        <v>11</v>
      </c>
      <c r="L26" s="4">
        <v>10</v>
      </c>
      <c r="M26" s="4">
        <v>9</v>
      </c>
      <c r="N26" s="4">
        <v>8</v>
      </c>
      <c r="O26" s="4">
        <v>7</v>
      </c>
      <c r="P26" s="4">
        <v>6</v>
      </c>
      <c r="Q26" s="4">
        <v>5</v>
      </c>
      <c r="R26" s="4">
        <v>4</v>
      </c>
      <c r="S26" s="4">
        <v>3</v>
      </c>
      <c r="T26" s="4">
        <v>2</v>
      </c>
      <c r="U26" s="4">
        <v>1</v>
      </c>
      <c r="V26" s="4">
        <v>0</v>
      </c>
      <c r="W26" s="4">
        <v>0</v>
      </c>
      <c r="X26" s="4">
        <v>0</v>
      </c>
      <c r="Y26" s="4">
        <v>0</v>
      </c>
    </row>
    <row r="27" spans="4:25" x14ac:dyDescent="0.45">
      <c r="D27" s="17">
        <f>IF(SUM(F27:K28)&gt;0,D25+1,"")</f>
        <v>10</v>
      </c>
      <c r="E27" s="15" t="s">
        <v>15</v>
      </c>
      <c r="F27" s="4">
        <v>16</v>
      </c>
      <c r="G27" s="4">
        <v>17</v>
      </c>
      <c r="H27" s="4">
        <v>18</v>
      </c>
      <c r="I27" s="4">
        <v>19</v>
      </c>
      <c r="J27" s="4">
        <v>20</v>
      </c>
      <c r="K27" s="4">
        <v>0</v>
      </c>
      <c r="L27" s="4">
        <v>0</v>
      </c>
      <c r="M27" s="4">
        <v>0</v>
      </c>
      <c r="N27" s="4">
        <v>0</v>
      </c>
      <c r="O27" s="4">
        <v>0</v>
      </c>
      <c r="P27" s="4">
        <v>0</v>
      </c>
      <c r="Q27" s="4">
        <v>0</v>
      </c>
      <c r="R27" s="4">
        <v>0</v>
      </c>
      <c r="S27" s="4">
        <v>0</v>
      </c>
      <c r="T27" s="4">
        <v>0</v>
      </c>
      <c r="U27" s="4">
        <v>0</v>
      </c>
      <c r="V27" s="4">
        <v>0</v>
      </c>
      <c r="W27" s="4">
        <v>0</v>
      </c>
      <c r="X27" s="4">
        <v>0</v>
      </c>
      <c r="Y27" s="4">
        <v>0</v>
      </c>
    </row>
    <row r="28" spans="4:25" ht="16.3" thickBot="1" x14ac:dyDescent="0.5">
      <c r="D28" s="18"/>
      <c r="E28" s="16"/>
      <c r="F28" s="4">
        <v>15</v>
      </c>
      <c r="G28" s="4">
        <v>14</v>
      </c>
      <c r="H28" s="4">
        <v>13</v>
      </c>
      <c r="I28" s="4">
        <v>12</v>
      </c>
      <c r="J28" s="4">
        <v>11</v>
      </c>
      <c r="K28" s="4">
        <v>10</v>
      </c>
      <c r="L28" s="4">
        <v>9</v>
      </c>
      <c r="M28" s="4">
        <v>8</v>
      </c>
      <c r="N28" s="4">
        <v>7</v>
      </c>
      <c r="O28" s="4">
        <v>6</v>
      </c>
      <c r="P28" s="4">
        <v>5</v>
      </c>
      <c r="Q28" s="4">
        <v>4</v>
      </c>
      <c r="R28" s="4">
        <v>3</v>
      </c>
      <c r="S28" s="4">
        <v>2</v>
      </c>
      <c r="T28" s="4">
        <v>1</v>
      </c>
      <c r="U28" s="4">
        <v>0</v>
      </c>
      <c r="V28" s="4">
        <v>0</v>
      </c>
      <c r="W28" s="4">
        <v>0</v>
      </c>
      <c r="X28" s="4">
        <v>0</v>
      </c>
      <c r="Y28" s="4">
        <v>0</v>
      </c>
    </row>
    <row r="29" spans="4:25" x14ac:dyDescent="0.45">
      <c r="D29" s="17">
        <f>IF(SUM(F29:K30)&gt;0,D27+1,"")</f>
        <v>11</v>
      </c>
      <c r="E29" s="15" t="s">
        <v>15</v>
      </c>
      <c r="F29" s="4">
        <v>15</v>
      </c>
      <c r="G29" s="4">
        <v>16</v>
      </c>
      <c r="H29" s="4">
        <v>17</v>
      </c>
      <c r="I29" s="4">
        <v>18</v>
      </c>
      <c r="J29" s="4">
        <v>19</v>
      </c>
      <c r="K29" s="4">
        <v>20</v>
      </c>
      <c r="L29" s="4">
        <v>0</v>
      </c>
      <c r="M29" s="4">
        <v>0</v>
      </c>
      <c r="N29" s="4">
        <v>0</v>
      </c>
      <c r="O29" s="4">
        <v>0</v>
      </c>
      <c r="P29" s="4">
        <v>0</v>
      </c>
      <c r="Q29" s="4">
        <v>0</v>
      </c>
      <c r="R29" s="4">
        <v>0</v>
      </c>
      <c r="S29" s="4">
        <v>0</v>
      </c>
      <c r="T29" s="4">
        <v>0</v>
      </c>
      <c r="U29" s="4">
        <v>0</v>
      </c>
      <c r="V29" s="4">
        <v>0</v>
      </c>
      <c r="W29" s="4">
        <v>0</v>
      </c>
      <c r="X29" s="4">
        <v>0</v>
      </c>
      <c r="Y29" s="4">
        <v>0</v>
      </c>
    </row>
    <row r="30" spans="4:25" ht="16.3" thickBot="1" x14ac:dyDescent="0.5">
      <c r="D30" s="18"/>
      <c r="E30" s="16"/>
      <c r="F30" s="4">
        <v>14</v>
      </c>
      <c r="G30" s="4">
        <v>13</v>
      </c>
      <c r="H30" s="4">
        <v>12</v>
      </c>
      <c r="I30" s="4">
        <v>11</v>
      </c>
      <c r="J30" s="4">
        <v>10</v>
      </c>
      <c r="K30" s="4">
        <v>9</v>
      </c>
      <c r="L30" s="4">
        <v>8</v>
      </c>
      <c r="M30" s="4">
        <v>7</v>
      </c>
      <c r="N30" s="4">
        <v>6</v>
      </c>
      <c r="O30" s="4">
        <v>5</v>
      </c>
      <c r="P30" s="4">
        <v>4</v>
      </c>
      <c r="Q30" s="4">
        <v>3</v>
      </c>
      <c r="R30" s="4">
        <v>2</v>
      </c>
      <c r="S30" s="4">
        <v>1</v>
      </c>
      <c r="T30" s="4">
        <v>0</v>
      </c>
      <c r="U30" s="4">
        <v>0</v>
      </c>
      <c r="V30" s="4">
        <v>0</v>
      </c>
      <c r="W30" s="4">
        <v>0</v>
      </c>
      <c r="X30" s="4">
        <v>0</v>
      </c>
      <c r="Y30" s="4">
        <v>0</v>
      </c>
    </row>
    <row r="31" spans="4:25" x14ac:dyDescent="0.45">
      <c r="D31" s="17">
        <f>IF(SUM(F31:K32)&gt;0,D29+1,"")</f>
        <v>12</v>
      </c>
      <c r="E31" s="15" t="s">
        <v>15</v>
      </c>
      <c r="F31" s="4">
        <v>14</v>
      </c>
      <c r="G31" s="4">
        <v>15</v>
      </c>
      <c r="H31" s="4">
        <v>16</v>
      </c>
      <c r="I31" s="4">
        <v>17</v>
      </c>
      <c r="J31" s="4">
        <v>18</v>
      </c>
      <c r="K31" s="4">
        <v>19</v>
      </c>
      <c r="L31" s="4">
        <v>20</v>
      </c>
      <c r="M31" s="4">
        <v>0</v>
      </c>
      <c r="N31" s="4">
        <v>0</v>
      </c>
      <c r="O31" s="4">
        <v>0</v>
      </c>
      <c r="P31" s="4">
        <v>0</v>
      </c>
      <c r="Q31" s="4">
        <v>0</v>
      </c>
      <c r="R31" s="4">
        <v>0</v>
      </c>
      <c r="S31" s="4">
        <v>0</v>
      </c>
      <c r="T31" s="4">
        <v>0</v>
      </c>
      <c r="U31" s="4">
        <v>0</v>
      </c>
      <c r="V31" s="4">
        <v>0</v>
      </c>
      <c r="W31" s="4">
        <v>0</v>
      </c>
      <c r="X31" s="4">
        <v>0</v>
      </c>
      <c r="Y31" s="4">
        <v>0</v>
      </c>
    </row>
    <row r="32" spans="4:25" ht="16.3" thickBot="1" x14ac:dyDescent="0.5">
      <c r="D32" s="18"/>
      <c r="E32" s="16"/>
      <c r="F32" s="4">
        <v>13</v>
      </c>
      <c r="G32" s="4">
        <v>12</v>
      </c>
      <c r="H32" s="4">
        <v>11</v>
      </c>
      <c r="I32" s="4">
        <v>10</v>
      </c>
      <c r="J32" s="4">
        <v>9</v>
      </c>
      <c r="K32" s="4">
        <v>8</v>
      </c>
      <c r="L32" s="4">
        <v>7</v>
      </c>
      <c r="M32" s="4">
        <v>6</v>
      </c>
      <c r="N32" s="4">
        <v>5</v>
      </c>
      <c r="O32" s="4">
        <v>4</v>
      </c>
      <c r="P32" s="4">
        <v>3</v>
      </c>
      <c r="Q32" s="4">
        <v>2</v>
      </c>
      <c r="R32" s="4">
        <v>1</v>
      </c>
      <c r="S32" s="4">
        <v>0</v>
      </c>
      <c r="T32" s="4">
        <v>0</v>
      </c>
      <c r="U32" s="4">
        <v>0</v>
      </c>
      <c r="V32" s="4">
        <v>0</v>
      </c>
      <c r="W32" s="4">
        <v>0</v>
      </c>
      <c r="X32" s="4">
        <v>0</v>
      </c>
      <c r="Y32" s="4">
        <v>0</v>
      </c>
    </row>
    <row r="33" spans="4:25" x14ac:dyDescent="0.45">
      <c r="D33" s="17">
        <f>IF(SUM(F33:K34)&gt;0,D31+1,"")</f>
        <v>13</v>
      </c>
      <c r="E33" s="15" t="s">
        <v>15</v>
      </c>
      <c r="F33" s="4">
        <v>13</v>
      </c>
      <c r="G33" s="4">
        <v>14</v>
      </c>
      <c r="H33" s="4">
        <v>15</v>
      </c>
      <c r="I33" s="4">
        <v>16</v>
      </c>
      <c r="J33" s="4">
        <v>17</v>
      </c>
      <c r="K33" s="4">
        <v>18</v>
      </c>
      <c r="L33" s="4">
        <v>19</v>
      </c>
      <c r="M33" s="4">
        <v>20</v>
      </c>
      <c r="N33" s="4">
        <v>0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  <c r="X33" s="4">
        <v>0</v>
      </c>
      <c r="Y33" s="4">
        <v>0</v>
      </c>
    </row>
    <row r="34" spans="4:25" ht="16.3" thickBot="1" x14ac:dyDescent="0.5">
      <c r="D34" s="18"/>
      <c r="E34" s="16"/>
      <c r="F34" s="4">
        <v>12</v>
      </c>
      <c r="G34" s="4">
        <v>11</v>
      </c>
      <c r="H34" s="4">
        <v>10</v>
      </c>
      <c r="I34" s="4">
        <v>9</v>
      </c>
      <c r="J34" s="4">
        <v>8</v>
      </c>
      <c r="K34" s="4">
        <v>7</v>
      </c>
      <c r="L34" s="4">
        <v>6</v>
      </c>
      <c r="M34" s="4">
        <v>5</v>
      </c>
      <c r="N34" s="4">
        <v>4</v>
      </c>
      <c r="O34" s="4">
        <v>3</v>
      </c>
      <c r="P34" s="4">
        <v>2</v>
      </c>
      <c r="Q34" s="4">
        <v>1</v>
      </c>
      <c r="R34" s="4">
        <v>0</v>
      </c>
      <c r="S34" s="4">
        <v>0</v>
      </c>
      <c r="T34" s="4">
        <v>0</v>
      </c>
      <c r="U34" s="4">
        <v>0</v>
      </c>
      <c r="V34" s="4">
        <v>0</v>
      </c>
      <c r="W34" s="4">
        <v>0</v>
      </c>
      <c r="X34" s="4">
        <v>0</v>
      </c>
      <c r="Y34" s="4">
        <v>0</v>
      </c>
    </row>
    <row r="35" spans="4:25" x14ac:dyDescent="0.45">
      <c r="D35" s="17">
        <f>IF(SUM(F35:K36)&gt;0,D33+1,"")</f>
        <v>14</v>
      </c>
      <c r="E35" s="15" t="s">
        <v>15</v>
      </c>
      <c r="F35" s="4">
        <v>12</v>
      </c>
      <c r="G35" s="4">
        <v>13</v>
      </c>
      <c r="H35" s="4">
        <v>14</v>
      </c>
      <c r="I35" s="4">
        <v>15</v>
      </c>
      <c r="J35" s="4">
        <v>16</v>
      </c>
      <c r="K35" s="4">
        <v>17</v>
      </c>
      <c r="L35" s="4">
        <v>18</v>
      </c>
      <c r="M35" s="4">
        <v>19</v>
      </c>
      <c r="N35" s="4">
        <v>20</v>
      </c>
      <c r="O35" s="4">
        <v>0</v>
      </c>
      <c r="P35" s="4">
        <v>0</v>
      </c>
      <c r="Q35" s="4">
        <v>0</v>
      </c>
      <c r="R35" s="4">
        <v>0</v>
      </c>
      <c r="S35" s="4">
        <v>0</v>
      </c>
      <c r="T35" s="4">
        <v>0</v>
      </c>
      <c r="U35" s="4">
        <v>0</v>
      </c>
      <c r="V35" s="4">
        <v>0</v>
      </c>
      <c r="W35" s="4">
        <v>0</v>
      </c>
      <c r="X35" s="4">
        <v>0</v>
      </c>
      <c r="Y35" s="4">
        <v>0</v>
      </c>
    </row>
    <row r="36" spans="4:25" ht="16.3" thickBot="1" x14ac:dyDescent="0.5">
      <c r="D36" s="18"/>
      <c r="E36" s="16"/>
      <c r="F36" s="4">
        <v>11</v>
      </c>
      <c r="G36" s="4">
        <v>10</v>
      </c>
      <c r="H36" s="4">
        <v>9</v>
      </c>
      <c r="I36" s="4">
        <v>8</v>
      </c>
      <c r="J36" s="4">
        <v>7</v>
      </c>
      <c r="K36" s="4">
        <v>6</v>
      </c>
      <c r="L36" s="4">
        <v>5</v>
      </c>
      <c r="M36" s="4">
        <v>4</v>
      </c>
      <c r="N36" s="4">
        <v>3</v>
      </c>
      <c r="O36" s="4">
        <v>2</v>
      </c>
      <c r="P36" s="4">
        <v>1</v>
      </c>
      <c r="Q36" s="4">
        <v>0</v>
      </c>
      <c r="R36" s="4">
        <v>0</v>
      </c>
      <c r="S36" s="4">
        <v>0</v>
      </c>
      <c r="T36" s="4">
        <v>0</v>
      </c>
      <c r="U36" s="4">
        <v>0</v>
      </c>
      <c r="V36" s="4">
        <v>0</v>
      </c>
      <c r="W36" s="4">
        <v>0</v>
      </c>
      <c r="X36" s="4">
        <v>0</v>
      </c>
      <c r="Y36" s="4">
        <v>0</v>
      </c>
    </row>
    <row r="37" spans="4:25" x14ac:dyDescent="0.45">
      <c r="D37" s="17">
        <f>IF(SUM(F37:K38)&gt;0,D35+1,"")</f>
        <v>15</v>
      </c>
      <c r="E37" s="15" t="s">
        <v>15</v>
      </c>
      <c r="F37" s="4">
        <v>11</v>
      </c>
      <c r="G37" s="4">
        <v>12</v>
      </c>
      <c r="H37" s="4">
        <v>13</v>
      </c>
      <c r="I37" s="4">
        <v>14</v>
      </c>
      <c r="J37" s="4">
        <v>15</v>
      </c>
      <c r="K37" s="4">
        <v>16</v>
      </c>
      <c r="L37" s="4">
        <v>17</v>
      </c>
      <c r="M37" s="4">
        <v>18</v>
      </c>
      <c r="N37" s="4">
        <v>19</v>
      </c>
      <c r="O37" s="4">
        <v>20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v>0</v>
      </c>
      <c r="W37" s="4">
        <v>0</v>
      </c>
      <c r="X37" s="4">
        <v>0</v>
      </c>
      <c r="Y37" s="4">
        <v>0</v>
      </c>
    </row>
    <row r="38" spans="4:25" ht="16.3" thickBot="1" x14ac:dyDescent="0.5">
      <c r="D38" s="18"/>
      <c r="E38" s="16"/>
      <c r="F38" s="4">
        <v>10</v>
      </c>
      <c r="G38" s="4">
        <v>9</v>
      </c>
      <c r="H38" s="4">
        <v>8</v>
      </c>
      <c r="I38" s="4">
        <v>7</v>
      </c>
      <c r="J38" s="4">
        <v>6</v>
      </c>
      <c r="K38" s="4">
        <v>5</v>
      </c>
      <c r="L38" s="4">
        <v>4</v>
      </c>
      <c r="M38" s="4">
        <v>3</v>
      </c>
      <c r="N38" s="4">
        <v>2</v>
      </c>
      <c r="O38" s="4">
        <v>1</v>
      </c>
      <c r="P38" s="4">
        <v>0</v>
      </c>
      <c r="Q38" s="4">
        <v>0</v>
      </c>
      <c r="R38" s="4">
        <v>0</v>
      </c>
      <c r="S38" s="4">
        <v>0</v>
      </c>
      <c r="T38" s="4">
        <v>0</v>
      </c>
      <c r="U38" s="4">
        <v>0</v>
      </c>
      <c r="V38" s="4">
        <v>0</v>
      </c>
      <c r="W38" s="4">
        <v>0</v>
      </c>
      <c r="X38" s="4">
        <v>0</v>
      </c>
      <c r="Y38" s="4">
        <v>0</v>
      </c>
    </row>
    <row r="39" spans="4:25" x14ac:dyDescent="0.45">
      <c r="D39" s="17">
        <f>IF(SUM(F39:K40)&gt;0,D37+1,"")</f>
        <v>16</v>
      </c>
      <c r="E39" s="15" t="s">
        <v>15</v>
      </c>
      <c r="F39" s="4">
        <v>10</v>
      </c>
      <c r="G39" s="4">
        <v>11</v>
      </c>
      <c r="H39" s="4">
        <v>12</v>
      </c>
      <c r="I39" s="4">
        <v>13</v>
      </c>
      <c r="J39" s="4">
        <v>14</v>
      </c>
      <c r="K39" s="4">
        <v>15</v>
      </c>
      <c r="L39" s="4">
        <v>16</v>
      </c>
      <c r="M39" s="4">
        <v>17</v>
      </c>
      <c r="N39" s="4">
        <v>18</v>
      </c>
      <c r="O39" s="4">
        <v>19</v>
      </c>
      <c r="P39" s="4">
        <v>20</v>
      </c>
      <c r="Q39" s="4">
        <v>0</v>
      </c>
      <c r="R39" s="4">
        <v>0</v>
      </c>
      <c r="S39" s="4">
        <v>0</v>
      </c>
      <c r="T39" s="4">
        <v>0</v>
      </c>
      <c r="U39" s="4">
        <v>0</v>
      </c>
      <c r="V39" s="4">
        <v>0</v>
      </c>
      <c r="W39" s="4">
        <v>0</v>
      </c>
      <c r="X39" s="4">
        <v>0</v>
      </c>
      <c r="Y39" s="4">
        <v>0</v>
      </c>
    </row>
    <row r="40" spans="4:25" ht="16.3" thickBot="1" x14ac:dyDescent="0.5">
      <c r="D40" s="18"/>
      <c r="E40" s="16"/>
      <c r="F40" s="4">
        <v>9</v>
      </c>
      <c r="G40" s="4">
        <v>8</v>
      </c>
      <c r="H40" s="4">
        <v>7</v>
      </c>
      <c r="I40" s="4">
        <v>6</v>
      </c>
      <c r="J40" s="4">
        <v>5</v>
      </c>
      <c r="K40" s="4">
        <v>4</v>
      </c>
      <c r="L40" s="4">
        <v>3</v>
      </c>
      <c r="M40" s="4">
        <v>2</v>
      </c>
      <c r="N40" s="4">
        <v>1</v>
      </c>
      <c r="O40" s="4">
        <v>0</v>
      </c>
      <c r="P40" s="4">
        <v>0</v>
      </c>
      <c r="Q40" s="4">
        <v>0</v>
      </c>
      <c r="R40" s="4">
        <v>0</v>
      </c>
      <c r="S40" s="4">
        <v>0</v>
      </c>
      <c r="T40" s="4">
        <v>0</v>
      </c>
      <c r="U40" s="4">
        <v>0</v>
      </c>
      <c r="V40" s="4">
        <v>0</v>
      </c>
      <c r="W40" s="4">
        <v>0</v>
      </c>
      <c r="X40" s="4">
        <v>0</v>
      </c>
      <c r="Y40" s="4">
        <v>0</v>
      </c>
    </row>
    <row r="41" spans="4:25" x14ac:dyDescent="0.45">
      <c r="D41" s="17">
        <f>IF(SUM(F41:K42)&gt;0,D39+1,"")</f>
        <v>17</v>
      </c>
      <c r="E41" s="15" t="s">
        <v>15</v>
      </c>
      <c r="F41" s="4">
        <v>9</v>
      </c>
      <c r="G41" s="4">
        <v>10</v>
      </c>
      <c r="H41" s="4">
        <v>11</v>
      </c>
      <c r="I41" s="4">
        <v>12</v>
      </c>
      <c r="J41" s="4">
        <v>13</v>
      </c>
      <c r="K41" s="4">
        <v>14</v>
      </c>
      <c r="L41" s="4">
        <v>15</v>
      </c>
      <c r="M41" s="4">
        <v>16</v>
      </c>
      <c r="N41" s="4">
        <v>17</v>
      </c>
      <c r="O41" s="4">
        <v>18</v>
      </c>
      <c r="P41" s="4">
        <v>19</v>
      </c>
      <c r="Q41" s="4">
        <v>20</v>
      </c>
      <c r="R41" s="4">
        <v>0</v>
      </c>
      <c r="S41" s="4">
        <v>0</v>
      </c>
      <c r="T41" s="4">
        <v>0</v>
      </c>
      <c r="U41" s="4">
        <v>0</v>
      </c>
      <c r="V41" s="4">
        <v>0</v>
      </c>
      <c r="W41" s="4">
        <v>0</v>
      </c>
      <c r="X41" s="4">
        <v>0</v>
      </c>
      <c r="Y41" s="4">
        <v>0</v>
      </c>
    </row>
    <row r="42" spans="4:25" ht="16.3" thickBot="1" x14ac:dyDescent="0.5">
      <c r="D42" s="18"/>
      <c r="E42" s="16"/>
      <c r="F42" s="4">
        <v>8</v>
      </c>
      <c r="G42" s="4">
        <v>7</v>
      </c>
      <c r="H42" s="4">
        <v>6</v>
      </c>
      <c r="I42" s="4">
        <v>5</v>
      </c>
      <c r="J42" s="4">
        <v>4</v>
      </c>
      <c r="K42" s="4">
        <v>3</v>
      </c>
      <c r="L42" s="4">
        <v>2</v>
      </c>
      <c r="M42" s="4">
        <v>1</v>
      </c>
      <c r="N42" s="4">
        <v>0</v>
      </c>
      <c r="O42" s="4">
        <v>0</v>
      </c>
      <c r="P42" s="4">
        <v>0</v>
      </c>
      <c r="Q42" s="4">
        <v>0</v>
      </c>
      <c r="R42" s="4">
        <v>0</v>
      </c>
      <c r="S42" s="4">
        <v>0</v>
      </c>
      <c r="T42" s="4">
        <v>0</v>
      </c>
      <c r="U42" s="4">
        <v>0</v>
      </c>
      <c r="V42" s="4">
        <v>0</v>
      </c>
      <c r="W42" s="4">
        <v>0</v>
      </c>
      <c r="X42" s="4">
        <v>0</v>
      </c>
      <c r="Y42" s="4">
        <v>0</v>
      </c>
    </row>
    <row r="43" spans="4:25" x14ac:dyDescent="0.45">
      <c r="D43" s="17">
        <f>IF(SUM(F43:K44)&gt;0,D41+1,"")</f>
        <v>18</v>
      </c>
      <c r="E43" s="15" t="s">
        <v>15</v>
      </c>
      <c r="F43" s="4">
        <v>8</v>
      </c>
      <c r="G43" s="4">
        <v>9</v>
      </c>
      <c r="H43" s="4">
        <v>10</v>
      </c>
      <c r="I43" s="4">
        <v>11</v>
      </c>
      <c r="J43" s="4">
        <v>12</v>
      </c>
      <c r="K43" s="4">
        <v>13</v>
      </c>
      <c r="L43" s="4">
        <v>14</v>
      </c>
      <c r="M43" s="4">
        <v>15</v>
      </c>
      <c r="N43" s="4">
        <v>16</v>
      </c>
      <c r="O43" s="4">
        <v>17</v>
      </c>
      <c r="P43" s="4">
        <v>18</v>
      </c>
      <c r="Q43" s="4">
        <v>19</v>
      </c>
      <c r="R43" s="4">
        <v>20</v>
      </c>
      <c r="S43" s="4">
        <v>0</v>
      </c>
      <c r="T43" s="4">
        <v>0</v>
      </c>
      <c r="U43" s="4">
        <v>0</v>
      </c>
      <c r="V43" s="4">
        <v>0</v>
      </c>
      <c r="W43" s="4">
        <v>0</v>
      </c>
      <c r="X43" s="4">
        <v>0</v>
      </c>
      <c r="Y43" s="4">
        <v>0</v>
      </c>
    </row>
    <row r="44" spans="4:25" ht="16.3" thickBot="1" x14ac:dyDescent="0.5">
      <c r="D44" s="18"/>
      <c r="E44" s="16"/>
      <c r="F44" s="4">
        <v>7</v>
      </c>
      <c r="G44" s="4">
        <v>6</v>
      </c>
      <c r="H44" s="4">
        <v>5</v>
      </c>
      <c r="I44" s="4">
        <v>4</v>
      </c>
      <c r="J44" s="4">
        <v>3</v>
      </c>
      <c r="K44" s="4">
        <v>2</v>
      </c>
      <c r="L44" s="4">
        <v>1</v>
      </c>
      <c r="M44" s="4">
        <v>0</v>
      </c>
      <c r="N44" s="4">
        <v>0</v>
      </c>
      <c r="O44" s="4">
        <v>0</v>
      </c>
      <c r="P44" s="4">
        <v>0</v>
      </c>
      <c r="Q44" s="4">
        <v>0</v>
      </c>
      <c r="R44" s="4">
        <v>0</v>
      </c>
      <c r="S44" s="4">
        <v>0</v>
      </c>
      <c r="T44" s="4">
        <v>0</v>
      </c>
      <c r="U44" s="4">
        <v>0</v>
      </c>
      <c r="V44" s="4">
        <v>0</v>
      </c>
      <c r="W44" s="4">
        <v>0</v>
      </c>
      <c r="X44" s="4">
        <v>0</v>
      </c>
      <c r="Y44" s="4">
        <v>0</v>
      </c>
    </row>
    <row r="45" spans="4:25" x14ac:dyDescent="0.45">
      <c r="D45" s="17">
        <f>IF(SUM(F45:K46)&gt;0,D43+1,"")</f>
        <v>19</v>
      </c>
      <c r="E45" s="15" t="s">
        <v>15</v>
      </c>
      <c r="F45" s="4">
        <v>7</v>
      </c>
      <c r="G45" s="4">
        <v>8</v>
      </c>
      <c r="H45" s="4">
        <v>9</v>
      </c>
      <c r="I45" s="4">
        <v>10</v>
      </c>
      <c r="J45" s="4">
        <v>11</v>
      </c>
      <c r="K45" s="4">
        <v>12</v>
      </c>
      <c r="L45" s="4">
        <v>13</v>
      </c>
      <c r="M45" s="4">
        <v>14</v>
      </c>
      <c r="N45" s="4">
        <v>15</v>
      </c>
      <c r="O45" s="4">
        <v>16</v>
      </c>
      <c r="P45" s="4">
        <v>17</v>
      </c>
      <c r="Q45" s="4">
        <v>18</v>
      </c>
      <c r="R45" s="4">
        <v>19</v>
      </c>
      <c r="S45" s="4">
        <v>20</v>
      </c>
      <c r="T45" s="4">
        <v>0</v>
      </c>
      <c r="U45" s="4">
        <v>0</v>
      </c>
      <c r="V45" s="4">
        <v>0</v>
      </c>
      <c r="W45" s="4">
        <v>0</v>
      </c>
      <c r="X45" s="4">
        <v>0</v>
      </c>
      <c r="Y45" s="4">
        <v>0</v>
      </c>
    </row>
    <row r="46" spans="4:25" ht="16.3" thickBot="1" x14ac:dyDescent="0.5">
      <c r="D46" s="18"/>
      <c r="E46" s="16"/>
      <c r="F46" s="4">
        <v>6</v>
      </c>
      <c r="G46" s="4">
        <v>5</v>
      </c>
      <c r="H46" s="4">
        <v>4</v>
      </c>
      <c r="I46" s="4">
        <v>3</v>
      </c>
      <c r="J46" s="4">
        <v>2</v>
      </c>
      <c r="K46" s="4">
        <v>1</v>
      </c>
      <c r="L46" s="4">
        <v>0</v>
      </c>
      <c r="M46" s="4">
        <v>0</v>
      </c>
      <c r="N46" s="4">
        <v>0</v>
      </c>
      <c r="O46" s="4">
        <v>0</v>
      </c>
      <c r="P46" s="4">
        <v>0</v>
      </c>
      <c r="Q46" s="4">
        <v>0</v>
      </c>
      <c r="R46" s="4">
        <v>0</v>
      </c>
      <c r="S46" s="4">
        <v>0</v>
      </c>
      <c r="T46" s="4">
        <v>0</v>
      </c>
      <c r="U46" s="4">
        <v>0</v>
      </c>
      <c r="V46" s="4">
        <v>0</v>
      </c>
      <c r="W46" s="4">
        <v>0</v>
      </c>
      <c r="X46" s="4">
        <v>0</v>
      </c>
      <c r="Y46" s="4">
        <v>0</v>
      </c>
    </row>
    <row r="47" spans="4:25" x14ac:dyDescent="0.45">
      <c r="D47" s="17">
        <f>IF(SUM(F47:K48)&gt;0,D45+1,"")</f>
        <v>20</v>
      </c>
      <c r="E47" s="15" t="s">
        <v>15</v>
      </c>
      <c r="F47" s="4">
        <v>6</v>
      </c>
      <c r="G47" s="4">
        <v>7</v>
      </c>
      <c r="H47" s="4">
        <v>8</v>
      </c>
      <c r="I47" s="4">
        <v>9</v>
      </c>
      <c r="J47" s="4">
        <v>10</v>
      </c>
      <c r="K47" s="4">
        <v>11</v>
      </c>
      <c r="L47" s="4">
        <v>12</v>
      </c>
      <c r="M47" s="4">
        <v>13</v>
      </c>
      <c r="N47" s="4">
        <v>14</v>
      </c>
      <c r="O47" s="4">
        <v>15</v>
      </c>
      <c r="P47" s="4">
        <v>16</v>
      </c>
      <c r="Q47" s="4">
        <v>17</v>
      </c>
      <c r="R47" s="4">
        <v>18</v>
      </c>
      <c r="S47" s="4">
        <v>19</v>
      </c>
      <c r="T47" s="4">
        <v>20</v>
      </c>
      <c r="U47" s="4">
        <v>0</v>
      </c>
      <c r="V47" s="4">
        <v>0</v>
      </c>
      <c r="W47" s="4">
        <v>0</v>
      </c>
      <c r="X47" s="4">
        <v>0</v>
      </c>
      <c r="Y47" s="4">
        <v>0</v>
      </c>
    </row>
    <row r="48" spans="4:25" ht="16.3" thickBot="1" x14ac:dyDescent="0.5">
      <c r="D48" s="18"/>
      <c r="E48" s="16"/>
      <c r="F48" s="4">
        <v>5</v>
      </c>
      <c r="G48" s="4">
        <v>4</v>
      </c>
      <c r="H48" s="4">
        <v>3</v>
      </c>
      <c r="I48" s="4">
        <v>2</v>
      </c>
      <c r="J48" s="4">
        <v>1</v>
      </c>
      <c r="K48" s="4">
        <v>0</v>
      </c>
      <c r="L48" s="4">
        <v>0</v>
      </c>
      <c r="M48" s="4">
        <v>0</v>
      </c>
      <c r="N48" s="4">
        <v>0</v>
      </c>
      <c r="O48" s="4">
        <v>0</v>
      </c>
      <c r="P48" s="4">
        <v>0</v>
      </c>
      <c r="Q48" s="4">
        <v>0</v>
      </c>
      <c r="R48" s="4">
        <v>0</v>
      </c>
      <c r="S48" s="4">
        <v>0</v>
      </c>
      <c r="T48" s="4">
        <v>0</v>
      </c>
      <c r="U48" s="4">
        <v>0</v>
      </c>
      <c r="V48" s="4">
        <v>0</v>
      </c>
      <c r="W48" s="4">
        <v>0</v>
      </c>
      <c r="X48" s="4">
        <v>0</v>
      </c>
      <c r="Y48" s="4">
        <v>0</v>
      </c>
    </row>
    <row r="49" spans="4:25" x14ac:dyDescent="0.45">
      <c r="D49" s="17">
        <f>IF(SUM(F49:K50)&gt;0,D47+1,"")</f>
        <v>21</v>
      </c>
      <c r="E49" s="15" t="s">
        <v>15</v>
      </c>
      <c r="F49" s="4">
        <v>5</v>
      </c>
      <c r="G49" s="4">
        <v>6</v>
      </c>
      <c r="H49" s="4">
        <v>7</v>
      </c>
      <c r="I49" s="4">
        <v>8</v>
      </c>
      <c r="J49" s="4">
        <v>9</v>
      </c>
      <c r="K49" s="4">
        <v>10</v>
      </c>
      <c r="L49" s="4">
        <v>11</v>
      </c>
      <c r="M49" s="4">
        <v>12</v>
      </c>
      <c r="N49" s="4">
        <v>13</v>
      </c>
      <c r="O49" s="4">
        <v>14</v>
      </c>
      <c r="P49" s="4">
        <v>15</v>
      </c>
      <c r="Q49" s="4">
        <v>16</v>
      </c>
      <c r="R49" s="4">
        <v>17</v>
      </c>
      <c r="S49" s="4">
        <v>18</v>
      </c>
      <c r="T49" s="4">
        <v>19</v>
      </c>
      <c r="U49" s="4">
        <v>20</v>
      </c>
      <c r="V49" s="4">
        <v>0</v>
      </c>
      <c r="W49" s="4">
        <v>0</v>
      </c>
      <c r="X49" s="4">
        <v>0</v>
      </c>
      <c r="Y49" s="4">
        <v>0</v>
      </c>
    </row>
    <row r="50" spans="4:25" ht="16.3" thickBot="1" x14ac:dyDescent="0.5">
      <c r="D50" s="18"/>
      <c r="E50" s="16"/>
      <c r="F50" s="4">
        <v>4</v>
      </c>
      <c r="G50" s="4">
        <v>3</v>
      </c>
      <c r="H50" s="4">
        <v>2</v>
      </c>
      <c r="I50" s="4">
        <v>1</v>
      </c>
      <c r="J50" s="4">
        <v>0</v>
      </c>
      <c r="K50" s="4">
        <v>0</v>
      </c>
      <c r="L50" s="4">
        <v>0</v>
      </c>
      <c r="M50" s="4">
        <v>0</v>
      </c>
      <c r="N50" s="4">
        <v>0</v>
      </c>
      <c r="O50" s="4">
        <v>0</v>
      </c>
      <c r="P50" s="4">
        <v>0</v>
      </c>
      <c r="Q50" s="4">
        <v>0</v>
      </c>
      <c r="R50" s="4">
        <v>0</v>
      </c>
      <c r="S50" s="4">
        <v>0</v>
      </c>
      <c r="T50" s="4">
        <v>0</v>
      </c>
      <c r="U50" s="4">
        <v>0</v>
      </c>
      <c r="V50" s="4">
        <v>0</v>
      </c>
      <c r="W50" s="4">
        <v>0</v>
      </c>
      <c r="X50" s="4">
        <v>0</v>
      </c>
      <c r="Y50" s="4">
        <v>0</v>
      </c>
    </row>
    <row r="51" spans="4:25" x14ac:dyDescent="0.45">
      <c r="D51" s="17">
        <f>IF(SUM(F51:K52)&gt;0,D49+1,"")</f>
        <v>22</v>
      </c>
      <c r="E51" s="15" t="s">
        <v>15</v>
      </c>
      <c r="F51" s="4">
        <v>4</v>
      </c>
      <c r="G51" s="4">
        <v>5</v>
      </c>
      <c r="H51" s="4">
        <v>6</v>
      </c>
      <c r="I51" s="4">
        <v>7</v>
      </c>
      <c r="J51" s="4">
        <v>8</v>
      </c>
      <c r="K51" s="4">
        <v>9</v>
      </c>
      <c r="L51" s="4">
        <v>10</v>
      </c>
      <c r="M51" s="4">
        <v>11</v>
      </c>
      <c r="N51" s="4">
        <v>12</v>
      </c>
      <c r="O51" s="4">
        <v>13</v>
      </c>
      <c r="P51" s="4">
        <v>14</v>
      </c>
      <c r="Q51" s="4">
        <v>15</v>
      </c>
      <c r="R51" s="4">
        <v>16</v>
      </c>
      <c r="S51" s="4">
        <v>17</v>
      </c>
      <c r="T51" s="4">
        <v>18</v>
      </c>
      <c r="U51" s="4">
        <v>19</v>
      </c>
      <c r="V51" s="4">
        <v>20</v>
      </c>
      <c r="W51" s="4">
        <v>0</v>
      </c>
      <c r="X51" s="4">
        <v>0</v>
      </c>
      <c r="Y51" s="4">
        <v>0</v>
      </c>
    </row>
    <row r="52" spans="4:25" ht="16.3" thickBot="1" x14ac:dyDescent="0.5">
      <c r="D52" s="18"/>
      <c r="E52" s="16"/>
      <c r="F52" s="4">
        <v>3</v>
      </c>
      <c r="G52" s="4">
        <v>2</v>
      </c>
      <c r="H52" s="4">
        <v>1</v>
      </c>
      <c r="I52" s="4">
        <v>0</v>
      </c>
      <c r="J52" s="4">
        <v>0</v>
      </c>
      <c r="K52" s="4">
        <v>0</v>
      </c>
      <c r="L52" s="4">
        <v>0</v>
      </c>
      <c r="M52" s="4">
        <v>0</v>
      </c>
      <c r="N52" s="4">
        <v>0</v>
      </c>
      <c r="O52" s="4">
        <v>0</v>
      </c>
      <c r="P52" s="4">
        <v>0</v>
      </c>
      <c r="Q52" s="4">
        <v>0</v>
      </c>
      <c r="R52" s="4">
        <v>0</v>
      </c>
      <c r="S52" s="4">
        <v>0</v>
      </c>
      <c r="T52" s="4">
        <v>0</v>
      </c>
      <c r="U52" s="4">
        <v>0</v>
      </c>
      <c r="V52" s="4">
        <v>0</v>
      </c>
      <c r="W52" s="4">
        <v>0</v>
      </c>
      <c r="X52" s="4">
        <v>0</v>
      </c>
      <c r="Y52" s="4">
        <v>0</v>
      </c>
    </row>
    <row r="53" spans="4:25" x14ac:dyDescent="0.45">
      <c r="D53" s="17">
        <f>IF(SUM(F53:K54)&gt;0,D51+1,"")</f>
        <v>23</v>
      </c>
      <c r="E53" s="15" t="s">
        <v>15</v>
      </c>
      <c r="F53" s="4">
        <v>3</v>
      </c>
      <c r="G53" s="4">
        <v>4</v>
      </c>
      <c r="H53" s="4">
        <v>5</v>
      </c>
      <c r="I53" s="4">
        <v>6</v>
      </c>
      <c r="J53" s="4">
        <v>7</v>
      </c>
      <c r="K53" s="4">
        <v>8</v>
      </c>
      <c r="L53" s="4">
        <v>9</v>
      </c>
      <c r="M53" s="4">
        <v>10</v>
      </c>
      <c r="N53" s="4">
        <v>11</v>
      </c>
      <c r="O53" s="4">
        <v>12</v>
      </c>
      <c r="P53" s="4">
        <v>13</v>
      </c>
      <c r="Q53" s="4">
        <v>14</v>
      </c>
      <c r="R53" s="4">
        <v>15</v>
      </c>
      <c r="S53" s="4">
        <v>16</v>
      </c>
      <c r="T53" s="4">
        <v>17</v>
      </c>
      <c r="U53" s="4">
        <v>18</v>
      </c>
      <c r="V53" s="4">
        <v>19</v>
      </c>
      <c r="W53" s="4">
        <v>20</v>
      </c>
      <c r="X53" s="4">
        <v>0</v>
      </c>
      <c r="Y53" s="4">
        <v>0</v>
      </c>
    </row>
    <row r="54" spans="4:25" ht="16.3" thickBot="1" x14ac:dyDescent="0.5">
      <c r="D54" s="18"/>
      <c r="E54" s="16"/>
      <c r="F54" s="4">
        <v>2</v>
      </c>
      <c r="G54" s="4">
        <v>1</v>
      </c>
      <c r="H54" s="4">
        <v>0</v>
      </c>
      <c r="I54" s="4">
        <v>0</v>
      </c>
      <c r="J54" s="4">
        <v>0</v>
      </c>
      <c r="K54" s="4">
        <v>0</v>
      </c>
      <c r="L54" s="4">
        <v>0</v>
      </c>
      <c r="M54" s="4">
        <v>0</v>
      </c>
      <c r="N54" s="4">
        <v>0</v>
      </c>
      <c r="O54" s="4">
        <v>0</v>
      </c>
      <c r="P54" s="4">
        <v>0</v>
      </c>
      <c r="Q54" s="4">
        <v>0</v>
      </c>
      <c r="R54" s="4">
        <v>0</v>
      </c>
      <c r="S54" s="4">
        <v>0</v>
      </c>
      <c r="T54" s="4">
        <v>0</v>
      </c>
      <c r="U54" s="4">
        <v>0</v>
      </c>
      <c r="V54" s="4">
        <v>0</v>
      </c>
      <c r="W54" s="4">
        <v>0</v>
      </c>
      <c r="X54" s="4">
        <v>0</v>
      </c>
      <c r="Y54" s="4">
        <v>0</v>
      </c>
    </row>
    <row r="55" spans="4:25" x14ac:dyDescent="0.45">
      <c r="D55" s="17">
        <f>IF(SUM(F55:K56)&gt;0,D53+1,"")</f>
        <v>24</v>
      </c>
      <c r="E55" s="15" t="s">
        <v>15</v>
      </c>
      <c r="F55" s="4">
        <v>2</v>
      </c>
      <c r="G55" s="4">
        <v>3</v>
      </c>
      <c r="H55" s="4">
        <v>4</v>
      </c>
      <c r="I55" s="4">
        <v>5</v>
      </c>
      <c r="J55" s="4">
        <v>6</v>
      </c>
      <c r="K55" s="4">
        <v>7</v>
      </c>
      <c r="L55" s="4">
        <v>8</v>
      </c>
      <c r="M55" s="4">
        <v>9</v>
      </c>
      <c r="N55" s="4">
        <v>10</v>
      </c>
      <c r="O55" s="4">
        <v>11</v>
      </c>
      <c r="P55" s="4">
        <v>12</v>
      </c>
      <c r="Q55" s="4">
        <v>13</v>
      </c>
      <c r="R55" s="4">
        <v>14</v>
      </c>
      <c r="S55" s="4">
        <v>15</v>
      </c>
      <c r="T55" s="4">
        <v>16</v>
      </c>
      <c r="U55" s="4">
        <v>17</v>
      </c>
      <c r="V55" s="4">
        <v>18</v>
      </c>
      <c r="W55" s="4">
        <v>19</v>
      </c>
      <c r="X55" s="4">
        <v>20</v>
      </c>
      <c r="Y55" s="4">
        <v>0</v>
      </c>
    </row>
    <row r="56" spans="4:25" ht="16.3" thickBot="1" x14ac:dyDescent="0.5">
      <c r="D56" s="18"/>
      <c r="E56" s="16"/>
      <c r="F56" s="4">
        <v>1</v>
      </c>
      <c r="G56" s="4">
        <v>0</v>
      </c>
      <c r="H56" s="4">
        <v>0</v>
      </c>
      <c r="I56" s="4">
        <v>0</v>
      </c>
      <c r="J56" s="4">
        <v>0</v>
      </c>
      <c r="K56" s="4">
        <v>0</v>
      </c>
      <c r="L56" s="4">
        <v>0</v>
      </c>
      <c r="M56" s="4">
        <v>0</v>
      </c>
      <c r="N56" s="4">
        <v>0</v>
      </c>
      <c r="O56" s="4">
        <v>0</v>
      </c>
      <c r="P56" s="4">
        <v>0</v>
      </c>
      <c r="Q56" s="4">
        <v>0</v>
      </c>
      <c r="R56" s="4">
        <v>0</v>
      </c>
      <c r="S56" s="4">
        <v>0</v>
      </c>
      <c r="T56" s="4">
        <v>0</v>
      </c>
      <c r="U56" s="4">
        <v>0</v>
      </c>
      <c r="V56" s="4">
        <v>0</v>
      </c>
      <c r="W56" s="4">
        <v>0</v>
      </c>
      <c r="X56" s="4">
        <v>0</v>
      </c>
      <c r="Y56" s="4">
        <v>0</v>
      </c>
    </row>
    <row r="57" spans="4:25" x14ac:dyDescent="0.45">
      <c r="D57" s="17">
        <f>IF(SUM(F57:K58)&gt;0,D55+1,"")</f>
        <v>25</v>
      </c>
      <c r="E57" s="15" t="s">
        <v>15</v>
      </c>
      <c r="F57" s="4">
        <v>1</v>
      </c>
      <c r="G57" s="4">
        <v>2</v>
      </c>
      <c r="H57" s="4">
        <v>3</v>
      </c>
      <c r="I57" s="4">
        <v>4</v>
      </c>
      <c r="J57" s="4">
        <v>5</v>
      </c>
      <c r="K57" s="4">
        <v>6</v>
      </c>
      <c r="L57" s="4">
        <v>7</v>
      </c>
      <c r="M57" s="4">
        <v>8</v>
      </c>
      <c r="N57" s="4">
        <v>9</v>
      </c>
      <c r="O57" s="4">
        <v>10</v>
      </c>
      <c r="P57" s="4">
        <v>11</v>
      </c>
      <c r="Q57" s="4">
        <v>12</v>
      </c>
      <c r="R57" s="4">
        <v>13</v>
      </c>
      <c r="S57" s="4">
        <v>14</v>
      </c>
      <c r="T57" s="4">
        <v>15</v>
      </c>
      <c r="U57" s="4">
        <v>16</v>
      </c>
      <c r="V57" s="4">
        <v>17</v>
      </c>
      <c r="W57" s="4">
        <v>18</v>
      </c>
      <c r="X57" s="4">
        <v>19</v>
      </c>
      <c r="Y57" s="4">
        <v>20</v>
      </c>
    </row>
    <row r="58" spans="4:25" ht="16.3" thickBot="1" x14ac:dyDescent="0.5">
      <c r="D58" s="18"/>
      <c r="E58" s="16"/>
      <c r="F58" s="4">
        <v>0</v>
      </c>
      <c r="G58" s="4">
        <v>0</v>
      </c>
      <c r="H58" s="4">
        <v>0</v>
      </c>
      <c r="I58" s="4">
        <v>0</v>
      </c>
      <c r="J58" s="4">
        <v>0</v>
      </c>
      <c r="K58" s="4">
        <v>0</v>
      </c>
      <c r="L58" s="4">
        <v>0</v>
      </c>
      <c r="M58" s="4">
        <v>0</v>
      </c>
      <c r="N58" s="4">
        <v>0</v>
      </c>
      <c r="O58" s="4">
        <v>0</v>
      </c>
      <c r="P58" s="4">
        <v>0</v>
      </c>
      <c r="Q58" s="4">
        <v>0</v>
      </c>
      <c r="R58" s="4">
        <v>0</v>
      </c>
      <c r="S58" s="4">
        <v>0</v>
      </c>
      <c r="T58" s="4">
        <v>0</v>
      </c>
      <c r="U58" s="4">
        <v>0</v>
      </c>
      <c r="V58" s="4">
        <v>0</v>
      </c>
      <c r="W58" s="4">
        <v>0</v>
      </c>
      <c r="X58" s="4">
        <v>0</v>
      </c>
      <c r="Y58" s="4">
        <v>0</v>
      </c>
    </row>
    <row r="59" spans="4:25" x14ac:dyDescent="0.45">
      <c r="D59" s="17" t="str">
        <f>IF(SUM(F59:K60)&gt;0,D57+1,"")</f>
        <v/>
      </c>
      <c r="E59" s="15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</row>
    <row r="60" spans="4:25" ht="16.3" thickBot="1" x14ac:dyDescent="0.5">
      <c r="D60" s="18"/>
      <c r="E60" s="16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</row>
    <row r="61" spans="4:25" x14ac:dyDescent="0.45">
      <c r="D61" s="17" t="str">
        <f>IF(SUM(F61:K62)&gt;0,D59+1,"")</f>
        <v/>
      </c>
      <c r="E61" s="15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</row>
    <row r="62" spans="4:25" ht="16.3" thickBot="1" x14ac:dyDescent="0.5">
      <c r="D62" s="18"/>
      <c r="E62" s="16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</row>
    <row r="63" spans="4:25" x14ac:dyDescent="0.45">
      <c r="D63" s="17" t="str">
        <f>IF(SUM(F63:K64)&gt;0,D61+1,"")</f>
        <v/>
      </c>
      <c r="E63" s="15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</row>
    <row r="64" spans="4:25" ht="16.3" thickBot="1" x14ac:dyDescent="0.5">
      <c r="D64" s="18"/>
      <c r="E64" s="16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</row>
    <row r="65" spans="4:25" x14ac:dyDescent="0.45">
      <c r="D65" s="17" t="str">
        <f>IF(SUM(F65:K66)&gt;0,D63+1,"")</f>
        <v/>
      </c>
      <c r="E65" s="15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</row>
    <row r="66" spans="4:25" ht="16.3" thickBot="1" x14ac:dyDescent="0.5">
      <c r="D66" s="18"/>
      <c r="E66" s="16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</row>
    <row r="67" spans="4:25" x14ac:dyDescent="0.45">
      <c r="D67" s="17" t="str">
        <f>IF(SUM(F67:K68)&gt;0,D65+1,"")</f>
        <v/>
      </c>
      <c r="E67" s="15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</row>
    <row r="68" spans="4:25" ht="16.3" thickBot="1" x14ac:dyDescent="0.5">
      <c r="D68" s="18"/>
      <c r="E68" s="16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</row>
    <row r="69" spans="4:25" x14ac:dyDescent="0.45">
      <c r="D69" s="17" t="str">
        <f>IF(SUM(F69:K70)&gt;0,D67+1,"")</f>
        <v/>
      </c>
      <c r="E69" s="15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</row>
    <row r="70" spans="4:25" ht="16.3" thickBot="1" x14ac:dyDescent="0.5">
      <c r="D70" s="18"/>
      <c r="E70" s="16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</row>
    <row r="71" spans="4:25" x14ac:dyDescent="0.45">
      <c r="D71" s="17" t="str">
        <f>IF(SUM(F71:K72)&gt;0,D69+1,"")</f>
        <v/>
      </c>
      <c r="E71" s="15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</row>
    <row r="72" spans="4:25" ht="16.3" thickBot="1" x14ac:dyDescent="0.5">
      <c r="D72" s="18"/>
      <c r="E72" s="16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</row>
    <row r="73" spans="4:25" x14ac:dyDescent="0.45">
      <c r="D73" s="17" t="str">
        <f>IF(SUM(F73:K74)&gt;0,D71+1,"")</f>
        <v/>
      </c>
      <c r="E73" s="15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</row>
    <row r="74" spans="4:25" ht="16.3" thickBot="1" x14ac:dyDescent="0.5">
      <c r="D74" s="18"/>
      <c r="E74" s="16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</row>
    <row r="75" spans="4:25" x14ac:dyDescent="0.45">
      <c r="D75" s="17" t="str">
        <f>IF(SUM(F75:K76)&gt;0,D73+1,"")</f>
        <v/>
      </c>
      <c r="E75" s="15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</row>
    <row r="76" spans="4:25" ht="16.3" thickBot="1" x14ac:dyDescent="0.5">
      <c r="D76" s="18"/>
      <c r="E76" s="16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</row>
    <row r="77" spans="4:25" x14ac:dyDescent="0.45">
      <c r="D77" s="17" t="str">
        <f>IF(SUM(F77:K78)&gt;0,D75+1,"")</f>
        <v/>
      </c>
      <c r="E77" s="15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</row>
    <row r="78" spans="4:25" ht="16.3" thickBot="1" x14ac:dyDescent="0.5">
      <c r="D78" s="18"/>
      <c r="E78" s="16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</row>
    <row r="79" spans="4:25" x14ac:dyDescent="0.45">
      <c r="D79" s="17" t="str">
        <f>IF(SUM(F79:K80)&gt;0,D77+1,"")</f>
        <v/>
      </c>
      <c r="E79" s="15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</row>
    <row r="80" spans="4:25" ht="16.3" thickBot="1" x14ac:dyDescent="0.5">
      <c r="D80" s="18"/>
      <c r="E80" s="16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</row>
    <row r="81" spans="4:25" x14ac:dyDescent="0.45">
      <c r="D81" s="17" t="str">
        <f>IF(SUM(F81:K82)&gt;0,D79+1,"")</f>
        <v/>
      </c>
      <c r="E81" s="15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</row>
    <row r="82" spans="4:25" ht="16.3" thickBot="1" x14ac:dyDescent="0.5">
      <c r="D82" s="18"/>
      <c r="E82" s="16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</row>
    <row r="83" spans="4:25" x14ac:dyDescent="0.45">
      <c r="D83" s="17" t="str">
        <f>IF(SUM(F83:K84)&gt;0,D81+1,"")</f>
        <v/>
      </c>
      <c r="E83" s="15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</row>
    <row r="84" spans="4:25" ht="16.3" thickBot="1" x14ac:dyDescent="0.5">
      <c r="D84" s="18"/>
      <c r="E84" s="16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</row>
    <row r="85" spans="4:25" x14ac:dyDescent="0.45">
      <c r="D85" s="17" t="str">
        <f>IF(SUM(F85:K86)&gt;0,D83+1,"")</f>
        <v/>
      </c>
      <c r="E85" s="15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</row>
    <row r="86" spans="4:25" ht="16.3" thickBot="1" x14ac:dyDescent="0.5">
      <c r="D86" s="18"/>
      <c r="E86" s="16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</row>
    <row r="87" spans="4:25" x14ac:dyDescent="0.45">
      <c r="D87" s="17" t="str">
        <f>IF(SUM(F87:K88)&gt;0,D85+1,"")</f>
        <v/>
      </c>
      <c r="E87" s="15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</row>
    <row r="88" spans="4:25" ht="16.3" thickBot="1" x14ac:dyDescent="0.5">
      <c r="D88" s="18"/>
      <c r="E88" s="16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</row>
    <row r="89" spans="4:25" x14ac:dyDescent="0.45">
      <c r="D89" s="17" t="str">
        <f>IF(SUM(F89:K90)&gt;0,D87+1,"")</f>
        <v/>
      </c>
      <c r="E89" s="15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</row>
    <row r="90" spans="4:25" ht="16.3" thickBot="1" x14ac:dyDescent="0.5">
      <c r="D90" s="18"/>
      <c r="E90" s="16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</row>
    <row r="91" spans="4:25" x14ac:dyDescent="0.45">
      <c r="D91" s="17" t="str">
        <f>IF(SUM(F91:K92)&gt;0,D89+1,"")</f>
        <v/>
      </c>
      <c r="E91" s="15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</row>
    <row r="92" spans="4:25" ht="16.3" thickBot="1" x14ac:dyDescent="0.5">
      <c r="D92" s="18"/>
      <c r="E92" s="16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</row>
    <row r="93" spans="4:25" x14ac:dyDescent="0.45">
      <c r="D93" s="17" t="str">
        <f>IF(SUM(F93:K94)&gt;0,D91+1,"")</f>
        <v/>
      </c>
      <c r="E93" s="15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</row>
    <row r="94" spans="4:25" ht="16.3" thickBot="1" x14ac:dyDescent="0.5">
      <c r="D94" s="18"/>
      <c r="E94" s="16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</row>
    <row r="95" spans="4:25" x14ac:dyDescent="0.45">
      <c r="D95" s="17" t="str">
        <f>IF(SUM(F95:K96)&gt;0,D93+1,"")</f>
        <v/>
      </c>
      <c r="E95" s="15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</row>
    <row r="96" spans="4:25" ht="16.3" thickBot="1" x14ac:dyDescent="0.5">
      <c r="D96" s="18"/>
      <c r="E96" s="16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</row>
    <row r="97" spans="4:25" x14ac:dyDescent="0.45">
      <c r="D97" s="17" t="str">
        <f>IF(SUM(F97:K98)&gt;0,D95+1,"")</f>
        <v/>
      </c>
      <c r="E97" s="15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</row>
    <row r="98" spans="4:25" ht="16.3" thickBot="1" x14ac:dyDescent="0.5">
      <c r="D98" s="18"/>
      <c r="E98" s="16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</row>
    <row r="99" spans="4:25" x14ac:dyDescent="0.45">
      <c r="D99" s="17" t="str">
        <f>IF(SUM(F99:K100)&gt;0,D97+1,"")</f>
        <v/>
      </c>
      <c r="E99" s="15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</row>
    <row r="100" spans="4:25" ht="16.3" thickBot="1" x14ac:dyDescent="0.5">
      <c r="D100" s="18"/>
      <c r="E100" s="16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</row>
    <row r="101" spans="4:25" x14ac:dyDescent="0.45">
      <c r="D101" s="17" t="str">
        <f>IF(SUM(F101:K102)&gt;0,D99+1,"")</f>
        <v/>
      </c>
      <c r="E101" s="15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</row>
    <row r="102" spans="4:25" ht="16.3" thickBot="1" x14ac:dyDescent="0.5">
      <c r="D102" s="18"/>
      <c r="E102" s="16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</row>
    <row r="103" spans="4:25" x14ac:dyDescent="0.45">
      <c r="D103" s="17" t="str">
        <f>IF(SUM(F103:K104)&gt;0,D101+1,"")</f>
        <v/>
      </c>
      <c r="E103" s="15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</row>
    <row r="104" spans="4:25" ht="16.3" thickBot="1" x14ac:dyDescent="0.5">
      <c r="D104" s="18"/>
      <c r="E104" s="16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</row>
    <row r="105" spans="4:25" x14ac:dyDescent="0.45">
      <c r="D105" s="17" t="str">
        <f>IF(SUM(F105:K106)&gt;0,D103+1,"")</f>
        <v/>
      </c>
      <c r="E105" s="15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</row>
    <row r="106" spans="4:25" ht="16.3" thickBot="1" x14ac:dyDescent="0.5">
      <c r="D106" s="18"/>
      <c r="E106" s="16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</row>
    <row r="107" spans="4:25" x14ac:dyDescent="0.45">
      <c r="D107" s="17" t="str">
        <f>IF(SUM(F107:K108)&gt;0,D105+1,"")</f>
        <v/>
      </c>
      <c r="E107" s="15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</row>
    <row r="108" spans="4:25" ht="16.3" thickBot="1" x14ac:dyDescent="0.5">
      <c r="D108" s="18"/>
      <c r="E108" s="16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</row>
    <row r="109" spans="4:25" x14ac:dyDescent="0.45">
      <c r="D109" s="17" t="str">
        <f>IF(SUM(F109:K110)&gt;0,D107+1,"")</f>
        <v/>
      </c>
      <c r="E109" s="15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</row>
    <row r="110" spans="4:25" ht="16.3" thickBot="1" x14ac:dyDescent="0.5">
      <c r="D110" s="18"/>
      <c r="E110" s="16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</row>
    <row r="111" spans="4:25" x14ac:dyDescent="0.45">
      <c r="D111" s="17" t="str">
        <f>IF(SUM(F111:K112)&gt;0,D109+1,"")</f>
        <v/>
      </c>
      <c r="E111" s="15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</row>
    <row r="112" spans="4:25" ht="16.3" thickBot="1" x14ac:dyDescent="0.5">
      <c r="D112" s="18"/>
      <c r="E112" s="16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</row>
    <row r="113" spans="4:25" x14ac:dyDescent="0.45">
      <c r="D113" s="17" t="str">
        <f>IF(SUM(F113:K114)&gt;0,D111+1,"")</f>
        <v/>
      </c>
      <c r="E113" s="15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</row>
    <row r="114" spans="4:25" ht="16.3" thickBot="1" x14ac:dyDescent="0.5">
      <c r="D114" s="18"/>
      <c r="E114" s="16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</row>
    <row r="115" spans="4:25" x14ac:dyDescent="0.45">
      <c r="D115" s="17" t="str">
        <f>IF(SUM(F115:K116)&gt;0,D113+1,"")</f>
        <v/>
      </c>
      <c r="E115" s="15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</row>
    <row r="116" spans="4:25" ht="16.3" thickBot="1" x14ac:dyDescent="0.5">
      <c r="D116" s="18"/>
      <c r="E116" s="16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</row>
    <row r="117" spans="4:25" x14ac:dyDescent="0.45">
      <c r="D117" s="17" t="str">
        <f>IF(SUM(F117:K118)&gt;0,D115+1,"")</f>
        <v/>
      </c>
      <c r="E117" s="15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</row>
    <row r="118" spans="4:25" ht="16.3" thickBot="1" x14ac:dyDescent="0.5">
      <c r="D118" s="18"/>
      <c r="E118" s="16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</row>
    <row r="119" spans="4:25" x14ac:dyDescent="0.45">
      <c r="D119" s="17" t="str">
        <f>IF(SUM(F119:K120)&gt;0,D117+1,"")</f>
        <v/>
      </c>
      <c r="E119" s="15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</row>
    <row r="120" spans="4:25" ht="16.3" thickBot="1" x14ac:dyDescent="0.5">
      <c r="D120" s="18"/>
      <c r="E120" s="16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</row>
    <row r="121" spans="4:25" x14ac:dyDescent="0.45">
      <c r="D121" s="17" t="str">
        <f>IF(SUM(F121:K122)&gt;0,D119+1,"")</f>
        <v/>
      </c>
      <c r="E121" s="15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</row>
    <row r="122" spans="4:25" ht="16.3" thickBot="1" x14ac:dyDescent="0.5">
      <c r="D122" s="18"/>
      <c r="E122" s="16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</row>
    <row r="123" spans="4:25" x14ac:dyDescent="0.45">
      <c r="D123" s="17" t="str">
        <f>IF(SUM(F123:K124)&gt;0,D121+1,"")</f>
        <v/>
      </c>
      <c r="E123" s="15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</row>
    <row r="124" spans="4:25" ht="16.3" thickBot="1" x14ac:dyDescent="0.5">
      <c r="D124" s="18"/>
      <c r="E124" s="16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</row>
    <row r="125" spans="4:25" x14ac:dyDescent="0.45">
      <c r="D125" s="17" t="str">
        <f>IF(SUM(F125:K126)&gt;0,D123+1,"")</f>
        <v/>
      </c>
      <c r="E125" s="15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</row>
    <row r="126" spans="4:25" ht="16.3" thickBot="1" x14ac:dyDescent="0.5">
      <c r="D126" s="18"/>
      <c r="E126" s="16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</row>
    <row r="127" spans="4:25" x14ac:dyDescent="0.45">
      <c r="D127" s="17" t="str">
        <f>IF(SUM(F127:K128)&gt;0,D125+1,"")</f>
        <v/>
      </c>
      <c r="E127" s="15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</row>
    <row r="128" spans="4:25" ht="16.3" thickBot="1" x14ac:dyDescent="0.5">
      <c r="D128" s="18"/>
      <c r="E128" s="16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</row>
    <row r="129" spans="4:25" x14ac:dyDescent="0.45">
      <c r="D129" s="17" t="str">
        <f>IF(SUM(F129:K130)&gt;0,D127+1,"")</f>
        <v/>
      </c>
      <c r="E129" s="15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</row>
    <row r="130" spans="4:25" ht="16.3" thickBot="1" x14ac:dyDescent="0.5">
      <c r="D130" s="18"/>
      <c r="E130" s="16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</row>
    <row r="131" spans="4:25" x14ac:dyDescent="0.45">
      <c r="D131" s="17" t="str">
        <f>IF(SUM(F131:K132)&gt;0,D129+1,"")</f>
        <v/>
      </c>
      <c r="E131" s="15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</row>
    <row r="132" spans="4:25" ht="16.3" thickBot="1" x14ac:dyDescent="0.5">
      <c r="D132" s="18"/>
      <c r="E132" s="16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</row>
    <row r="133" spans="4:25" x14ac:dyDescent="0.45">
      <c r="D133" s="17" t="str">
        <f>IF(SUM(F133:K134)&gt;0,D131+1,"")</f>
        <v/>
      </c>
      <c r="E133" s="15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</row>
    <row r="134" spans="4:25" ht="16.3" thickBot="1" x14ac:dyDescent="0.5">
      <c r="D134" s="18"/>
      <c r="E134" s="16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</row>
    <row r="135" spans="4:25" x14ac:dyDescent="0.45">
      <c r="D135" s="17" t="str">
        <f>IF(SUM(F135:K136)&gt;0,D133+1,"")</f>
        <v/>
      </c>
      <c r="E135" s="15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</row>
    <row r="136" spans="4:25" ht="16.3" thickBot="1" x14ac:dyDescent="0.5">
      <c r="D136" s="18"/>
      <c r="E136" s="16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</row>
    <row r="137" spans="4:25" x14ac:dyDescent="0.45">
      <c r="D137" s="17" t="str">
        <f>IF(SUM(F137:K138)&gt;0,D135+1,"")</f>
        <v/>
      </c>
      <c r="E137" s="15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</row>
    <row r="138" spans="4:25" ht="16.3" thickBot="1" x14ac:dyDescent="0.5">
      <c r="D138" s="18"/>
      <c r="E138" s="16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</row>
    <row r="139" spans="4:25" x14ac:dyDescent="0.45">
      <c r="D139" s="17" t="str">
        <f>IF(SUM(F139:K140)&gt;0,D137+1,"")</f>
        <v/>
      </c>
      <c r="E139" s="15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</row>
    <row r="140" spans="4:25" ht="16.3" thickBot="1" x14ac:dyDescent="0.5">
      <c r="D140" s="18"/>
      <c r="E140" s="16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</row>
    <row r="141" spans="4:25" x14ac:dyDescent="0.45">
      <c r="D141" s="17" t="str">
        <f>IF(SUM(F141:K142)&gt;0,D139+1,"")</f>
        <v/>
      </c>
      <c r="E141" s="15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</row>
    <row r="142" spans="4:25" ht="16.3" thickBot="1" x14ac:dyDescent="0.5">
      <c r="D142" s="18"/>
      <c r="E142" s="16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</row>
    <row r="143" spans="4:25" x14ac:dyDescent="0.45">
      <c r="D143" s="17" t="str">
        <f>IF(SUM(F143:K144)&gt;0,D141+1,"")</f>
        <v/>
      </c>
      <c r="E143" s="15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</row>
    <row r="144" spans="4:25" ht="16.3" thickBot="1" x14ac:dyDescent="0.5">
      <c r="D144" s="18"/>
      <c r="E144" s="16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</row>
    <row r="145" spans="4:25" x14ac:dyDescent="0.45">
      <c r="D145" s="17" t="str">
        <f>IF(SUM(F145:K146)&gt;0,D143+1,"")</f>
        <v/>
      </c>
      <c r="E145" s="15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</row>
    <row r="146" spans="4:25" ht="16.3" thickBot="1" x14ac:dyDescent="0.5">
      <c r="D146" s="18"/>
      <c r="E146" s="16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</row>
    <row r="147" spans="4:25" x14ac:dyDescent="0.45">
      <c r="D147" s="17" t="str">
        <f>IF(SUM(F147:K148)&gt;0,D145+1,"")</f>
        <v/>
      </c>
      <c r="E147" s="15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</row>
    <row r="148" spans="4:25" ht="16.3" thickBot="1" x14ac:dyDescent="0.5">
      <c r="D148" s="18"/>
      <c r="E148" s="16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</row>
    <row r="149" spans="4:25" x14ac:dyDescent="0.45">
      <c r="D149" s="17" t="str">
        <f>IF(SUM(F149:K150)&gt;0,D147+1,"")</f>
        <v/>
      </c>
      <c r="E149" s="15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</row>
    <row r="150" spans="4:25" ht="16.3" thickBot="1" x14ac:dyDescent="0.5">
      <c r="D150" s="18"/>
      <c r="E150" s="16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</row>
    <row r="151" spans="4:25" x14ac:dyDescent="0.45">
      <c r="D151" s="17" t="str">
        <f>IF(SUM(F151:K152)&gt;0,D149+1,"")</f>
        <v/>
      </c>
      <c r="E151" s="15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</row>
    <row r="152" spans="4:25" ht="16.3" thickBot="1" x14ac:dyDescent="0.5">
      <c r="D152" s="18"/>
      <c r="E152" s="16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</row>
    <row r="153" spans="4:25" x14ac:dyDescent="0.45">
      <c r="D153" s="17" t="str">
        <f>IF(SUM(F153:K154)&gt;0,D151+1,"")</f>
        <v/>
      </c>
      <c r="E153" s="15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</row>
    <row r="154" spans="4:25" ht="16.3" thickBot="1" x14ac:dyDescent="0.5">
      <c r="D154" s="18"/>
      <c r="E154" s="16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</row>
    <row r="155" spans="4:25" x14ac:dyDescent="0.45">
      <c r="D155" s="17" t="str">
        <f>IF(SUM(F155:K156)&gt;0,D153+1,"")</f>
        <v/>
      </c>
      <c r="E155" s="15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</row>
    <row r="156" spans="4:25" ht="16.3" thickBot="1" x14ac:dyDescent="0.5">
      <c r="D156" s="18"/>
      <c r="E156" s="16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</row>
    <row r="157" spans="4:25" x14ac:dyDescent="0.45">
      <c r="D157" s="17" t="str">
        <f>IF(SUM(F157:K158)&gt;0,D155+1,"")</f>
        <v/>
      </c>
      <c r="E157" s="15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</row>
    <row r="158" spans="4:25" ht="16.3" thickBot="1" x14ac:dyDescent="0.5">
      <c r="D158" s="18"/>
      <c r="E158" s="16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</row>
    <row r="159" spans="4:25" x14ac:dyDescent="0.45">
      <c r="D159" s="17" t="str">
        <f>IF(SUM(F159:K160)&gt;0,D157+1,"")</f>
        <v/>
      </c>
      <c r="E159" s="15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</row>
    <row r="160" spans="4:25" ht="16.3" thickBot="1" x14ac:dyDescent="0.5">
      <c r="D160" s="18"/>
      <c r="E160" s="16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</row>
    <row r="161" spans="4:25" x14ac:dyDescent="0.45">
      <c r="D161" s="17" t="str">
        <f>IF(SUM(F161:K162)&gt;0,D159+1,"")</f>
        <v/>
      </c>
      <c r="E161" s="15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</row>
    <row r="162" spans="4:25" ht="16.3" thickBot="1" x14ac:dyDescent="0.5">
      <c r="D162" s="18"/>
      <c r="E162" s="16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</row>
    <row r="163" spans="4:25" x14ac:dyDescent="0.45">
      <c r="D163" s="17" t="str">
        <f>IF(SUM(F163:K164)&gt;0,D161+1,"")</f>
        <v/>
      </c>
      <c r="E163" s="15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</row>
    <row r="164" spans="4:25" ht="16.3" thickBot="1" x14ac:dyDescent="0.5">
      <c r="D164" s="18"/>
      <c r="E164" s="16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</row>
    <row r="165" spans="4:25" x14ac:dyDescent="0.45">
      <c r="D165" s="17" t="str">
        <f>IF(SUM(F165:K166)&gt;0,D163+1,"")</f>
        <v/>
      </c>
      <c r="E165" s="15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</row>
    <row r="166" spans="4:25" ht="16.3" thickBot="1" x14ac:dyDescent="0.5">
      <c r="D166" s="18"/>
      <c r="E166" s="16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</row>
    <row r="167" spans="4:25" x14ac:dyDescent="0.45">
      <c r="D167" s="17" t="str">
        <f>IF(SUM(F167:K168)&gt;0,D165+1,"")</f>
        <v/>
      </c>
      <c r="E167" s="15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</row>
    <row r="168" spans="4:25" ht="16.3" thickBot="1" x14ac:dyDescent="0.5">
      <c r="D168" s="18"/>
      <c r="E168" s="16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</row>
    <row r="169" spans="4:25" x14ac:dyDescent="0.45">
      <c r="D169" s="17" t="str">
        <f>IF(SUM(F169:K170)&gt;0,D167+1,"")</f>
        <v/>
      </c>
      <c r="E169" s="15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</row>
    <row r="170" spans="4:25" ht="16.3" thickBot="1" x14ac:dyDescent="0.5">
      <c r="D170" s="18"/>
      <c r="E170" s="16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</row>
    <row r="171" spans="4:25" x14ac:dyDescent="0.45">
      <c r="D171" s="17" t="str">
        <f>IF(SUM(F171:K172)&gt;0,D169+1,"")</f>
        <v/>
      </c>
      <c r="E171" s="15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</row>
    <row r="172" spans="4:25" ht="16.3" thickBot="1" x14ac:dyDescent="0.5">
      <c r="D172" s="18"/>
      <c r="E172" s="16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</row>
    <row r="173" spans="4:25" x14ac:dyDescent="0.45">
      <c r="D173" s="17" t="str">
        <f>IF(SUM(F173:K174)&gt;0,D171+1,"")</f>
        <v/>
      </c>
      <c r="E173" s="15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</row>
    <row r="174" spans="4:25" ht="16.3" thickBot="1" x14ac:dyDescent="0.5">
      <c r="D174" s="18"/>
      <c r="E174" s="16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</row>
    <row r="175" spans="4:25" x14ac:dyDescent="0.45">
      <c r="D175" s="17" t="str">
        <f>IF(SUM(F175:K176)&gt;0,D173+1,"")</f>
        <v/>
      </c>
      <c r="E175" s="15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</row>
    <row r="176" spans="4:25" ht="16.3" thickBot="1" x14ac:dyDescent="0.5">
      <c r="D176" s="18"/>
      <c r="E176" s="16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</row>
    <row r="177" spans="4:25" x14ac:dyDescent="0.45">
      <c r="D177" s="17" t="str">
        <f>IF(SUM(F177:K178)&gt;0,D175+1,"")</f>
        <v/>
      </c>
      <c r="E177" s="15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</row>
    <row r="178" spans="4:25" ht="16.3" thickBot="1" x14ac:dyDescent="0.5">
      <c r="D178" s="18"/>
      <c r="E178" s="16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</row>
    <row r="179" spans="4:25" x14ac:dyDescent="0.45">
      <c r="D179" s="17" t="str">
        <f>IF(SUM(F179:K180)&gt;0,D177+1,"")</f>
        <v/>
      </c>
      <c r="E179" s="15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</row>
    <row r="180" spans="4:25" ht="16.3" thickBot="1" x14ac:dyDescent="0.5">
      <c r="D180" s="18"/>
      <c r="E180" s="16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</row>
    <row r="181" spans="4:25" x14ac:dyDescent="0.45">
      <c r="D181" s="17" t="str">
        <f>IF(SUM(F181:K182)&gt;0,D179+1,"")</f>
        <v/>
      </c>
      <c r="E181" s="15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</row>
    <row r="182" spans="4:25" ht="16.3" thickBot="1" x14ac:dyDescent="0.5">
      <c r="D182" s="18"/>
      <c r="E182" s="16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</row>
    <row r="183" spans="4:25" x14ac:dyDescent="0.45">
      <c r="D183" s="17" t="str">
        <f>IF(SUM(F183:K184)&gt;0,D181+1,"")</f>
        <v/>
      </c>
      <c r="E183" s="15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</row>
    <row r="184" spans="4:25" ht="16.3" thickBot="1" x14ac:dyDescent="0.5">
      <c r="D184" s="18"/>
      <c r="E184" s="16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</row>
    <row r="185" spans="4:25" x14ac:dyDescent="0.45">
      <c r="D185" s="17" t="str">
        <f>IF(SUM(F185:K186)&gt;0,D183+1,"")</f>
        <v/>
      </c>
      <c r="E185" s="15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</row>
    <row r="186" spans="4:25" ht="16.3" thickBot="1" x14ac:dyDescent="0.5">
      <c r="D186" s="18"/>
      <c r="E186" s="16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</row>
    <row r="187" spans="4:25" x14ac:dyDescent="0.45">
      <c r="D187" s="17" t="str">
        <f>IF(SUM(F187:K188)&gt;0,D185+1,"")</f>
        <v/>
      </c>
      <c r="E187" s="15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</row>
    <row r="188" spans="4:25" ht="16.3" thickBot="1" x14ac:dyDescent="0.5">
      <c r="D188" s="18"/>
      <c r="E188" s="16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</row>
    <row r="189" spans="4:25" x14ac:dyDescent="0.45">
      <c r="D189" s="17" t="str">
        <f>IF(SUM(F189:K190)&gt;0,D187+1,"")</f>
        <v/>
      </c>
      <c r="E189" s="15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</row>
    <row r="190" spans="4:25" ht="16.3" thickBot="1" x14ac:dyDescent="0.5">
      <c r="D190" s="18"/>
      <c r="E190" s="16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</row>
    <row r="191" spans="4:25" x14ac:dyDescent="0.45">
      <c r="D191" s="17" t="str">
        <f>IF(SUM(F191:K192)&gt;0,D189+1,"")</f>
        <v/>
      </c>
      <c r="E191" s="15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</row>
    <row r="192" spans="4:25" ht="16.3" thickBot="1" x14ac:dyDescent="0.5">
      <c r="D192" s="18"/>
      <c r="E192" s="16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</row>
    <row r="193" spans="4:25" x14ac:dyDescent="0.45">
      <c r="D193" s="17" t="str">
        <f>IF(SUM(F193:K194)&gt;0,D191+1,"")</f>
        <v/>
      </c>
      <c r="E193" s="15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</row>
    <row r="194" spans="4:25" ht="16.3" thickBot="1" x14ac:dyDescent="0.5">
      <c r="D194" s="18"/>
      <c r="E194" s="16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</row>
    <row r="195" spans="4:25" x14ac:dyDescent="0.45">
      <c r="D195" s="17" t="str">
        <f>IF(SUM(F195:K196)&gt;0,D193+1,"")</f>
        <v/>
      </c>
      <c r="E195" s="15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</row>
    <row r="196" spans="4:25" ht="16.3" thickBot="1" x14ac:dyDescent="0.5">
      <c r="D196" s="18"/>
      <c r="E196" s="16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</row>
    <row r="197" spans="4:25" x14ac:dyDescent="0.45">
      <c r="D197" s="17" t="str">
        <f>IF(SUM(F197:K198)&gt;0,D195+1,"")</f>
        <v/>
      </c>
      <c r="E197" s="15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</row>
    <row r="198" spans="4:25" ht="16.3" thickBot="1" x14ac:dyDescent="0.5">
      <c r="D198" s="18"/>
      <c r="E198" s="16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</row>
    <row r="199" spans="4:25" x14ac:dyDescent="0.45">
      <c r="D199" s="17" t="str">
        <f>IF(SUM(F199:K200)&gt;0,D197+1,"")</f>
        <v/>
      </c>
      <c r="E199" s="15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</row>
    <row r="200" spans="4:25" ht="16.3" thickBot="1" x14ac:dyDescent="0.5">
      <c r="D200" s="18"/>
      <c r="E200" s="16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</row>
    <row r="201" spans="4:25" x14ac:dyDescent="0.45">
      <c r="D201" s="17" t="str">
        <f>IF(SUM(F201:K202)&gt;0,D199+1,"")</f>
        <v/>
      </c>
      <c r="E201" s="15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</row>
    <row r="202" spans="4:25" ht="16.3" thickBot="1" x14ac:dyDescent="0.5">
      <c r="D202" s="18"/>
      <c r="E202" s="16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</row>
    <row r="203" spans="4:25" x14ac:dyDescent="0.45">
      <c r="D203" s="17" t="str">
        <f>IF(SUM(F203:K204)&gt;0,D201+1,"")</f>
        <v/>
      </c>
      <c r="E203" s="15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</row>
    <row r="204" spans="4:25" ht="16.3" thickBot="1" x14ac:dyDescent="0.5">
      <c r="D204" s="18"/>
      <c r="E204" s="16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</row>
    <row r="205" spans="4:25" x14ac:dyDescent="0.45">
      <c r="D205" s="17" t="str">
        <f>IF(SUM(F205:K206)&gt;0,D203+1,"")</f>
        <v/>
      </c>
      <c r="E205" s="15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</row>
    <row r="206" spans="4:25" ht="16.3" thickBot="1" x14ac:dyDescent="0.5">
      <c r="D206" s="18"/>
      <c r="E206" s="16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</row>
  </sheetData>
  <mergeCells count="200">
    <mergeCell ref="D199:D200"/>
    <mergeCell ref="D201:D202"/>
    <mergeCell ref="D203:D204"/>
    <mergeCell ref="D205:D206"/>
    <mergeCell ref="D187:D188"/>
    <mergeCell ref="D189:D190"/>
    <mergeCell ref="D191:D192"/>
    <mergeCell ref="D193:D194"/>
    <mergeCell ref="D195:D196"/>
    <mergeCell ref="D197:D198"/>
    <mergeCell ref="D175:D176"/>
    <mergeCell ref="D177:D178"/>
    <mergeCell ref="D179:D180"/>
    <mergeCell ref="D181:D182"/>
    <mergeCell ref="D183:D184"/>
    <mergeCell ref="D185:D186"/>
    <mergeCell ref="D163:D164"/>
    <mergeCell ref="D165:D166"/>
    <mergeCell ref="D167:D168"/>
    <mergeCell ref="D169:D170"/>
    <mergeCell ref="D171:D172"/>
    <mergeCell ref="D173:D174"/>
    <mergeCell ref="D151:D152"/>
    <mergeCell ref="D153:D154"/>
    <mergeCell ref="D155:D156"/>
    <mergeCell ref="D157:D158"/>
    <mergeCell ref="D159:D160"/>
    <mergeCell ref="D161:D162"/>
    <mergeCell ref="D139:D140"/>
    <mergeCell ref="D141:D142"/>
    <mergeCell ref="D143:D144"/>
    <mergeCell ref="D145:D146"/>
    <mergeCell ref="D147:D148"/>
    <mergeCell ref="D149:D150"/>
    <mergeCell ref="D127:D128"/>
    <mergeCell ref="D129:D130"/>
    <mergeCell ref="D131:D132"/>
    <mergeCell ref="D133:D134"/>
    <mergeCell ref="D135:D136"/>
    <mergeCell ref="D137:D138"/>
    <mergeCell ref="D115:D116"/>
    <mergeCell ref="D117:D118"/>
    <mergeCell ref="D119:D120"/>
    <mergeCell ref="D121:D122"/>
    <mergeCell ref="D123:D124"/>
    <mergeCell ref="D125:D126"/>
    <mergeCell ref="D103:D104"/>
    <mergeCell ref="D105:D106"/>
    <mergeCell ref="D107:D108"/>
    <mergeCell ref="D109:D110"/>
    <mergeCell ref="D111:D112"/>
    <mergeCell ref="D113:D114"/>
    <mergeCell ref="D91:D92"/>
    <mergeCell ref="D93:D94"/>
    <mergeCell ref="D95:D96"/>
    <mergeCell ref="D97:D98"/>
    <mergeCell ref="D99:D100"/>
    <mergeCell ref="D101:D102"/>
    <mergeCell ref="D79:D80"/>
    <mergeCell ref="D81:D82"/>
    <mergeCell ref="D83:D84"/>
    <mergeCell ref="D85:D86"/>
    <mergeCell ref="D87:D88"/>
    <mergeCell ref="D89:D90"/>
    <mergeCell ref="D67:D68"/>
    <mergeCell ref="D69:D70"/>
    <mergeCell ref="D71:D72"/>
    <mergeCell ref="D73:D74"/>
    <mergeCell ref="D75:D76"/>
    <mergeCell ref="D77:D78"/>
    <mergeCell ref="D55:D56"/>
    <mergeCell ref="D57:D58"/>
    <mergeCell ref="D59:D60"/>
    <mergeCell ref="D61:D62"/>
    <mergeCell ref="D63:D64"/>
    <mergeCell ref="D65:D66"/>
    <mergeCell ref="D43:D44"/>
    <mergeCell ref="D45:D46"/>
    <mergeCell ref="D47:D48"/>
    <mergeCell ref="D49:D50"/>
    <mergeCell ref="D51:D52"/>
    <mergeCell ref="D53:D54"/>
    <mergeCell ref="D31:D32"/>
    <mergeCell ref="D33:D34"/>
    <mergeCell ref="D35:D36"/>
    <mergeCell ref="D37:D38"/>
    <mergeCell ref="D39:D40"/>
    <mergeCell ref="D41:D42"/>
    <mergeCell ref="D19:D20"/>
    <mergeCell ref="D21:D22"/>
    <mergeCell ref="D23:D24"/>
    <mergeCell ref="D25:D26"/>
    <mergeCell ref="D27:D28"/>
    <mergeCell ref="D29:D30"/>
    <mergeCell ref="E199:E200"/>
    <mergeCell ref="E201:E202"/>
    <mergeCell ref="E203:E204"/>
    <mergeCell ref="E205:E206"/>
    <mergeCell ref="D7:D8"/>
    <mergeCell ref="D9:D10"/>
    <mergeCell ref="D11:D12"/>
    <mergeCell ref="D13:D14"/>
    <mergeCell ref="D15:D16"/>
    <mergeCell ref="D17:D18"/>
    <mergeCell ref="E187:E188"/>
    <mergeCell ref="E189:E190"/>
    <mergeCell ref="E191:E192"/>
    <mergeCell ref="E193:E194"/>
    <mergeCell ref="E195:E196"/>
    <mergeCell ref="E197:E198"/>
    <mergeCell ref="E175:E176"/>
    <mergeCell ref="E177:E178"/>
    <mergeCell ref="E179:E180"/>
    <mergeCell ref="E181:E182"/>
    <mergeCell ref="E183:E184"/>
    <mergeCell ref="E185:E186"/>
    <mergeCell ref="E163:E164"/>
    <mergeCell ref="E165:E166"/>
    <mergeCell ref="E167:E168"/>
    <mergeCell ref="E169:E170"/>
    <mergeCell ref="E171:E172"/>
    <mergeCell ref="E173:E174"/>
    <mergeCell ref="E151:E152"/>
    <mergeCell ref="E153:E154"/>
    <mergeCell ref="E155:E156"/>
    <mergeCell ref="E157:E158"/>
    <mergeCell ref="E159:E160"/>
    <mergeCell ref="E161:E162"/>
    <mergeCell ref="E139:E140"/>
    <mergeCell ref="E141:E142"/>
    <mergeCell ref="E143:E144"/>
    <mergeCell ref="E145:E146"/>
    <mergeCell ref="E147:E148"/>
    <mergeCell ref="E149:E150"/>
    <mergeCell ref="E127:E128"/>
    <mergeCell ref="E129:E130"/>
    <mergeCell ref="E131:E132"/>
    <mergeCell ref="E133:E134"/>
    <mergeCell ref="E135:E136"/>
    <mergeCell ref="E137:E138"/>
    <mergeCell ref="E115:E116"/>
    <mergeCell ref="E117:E118"/>
    <mergeCell ref="E119:E120"/>
    <mergeCell ref="E121:E122"/>
    <mergeCell ref="E123:E124"/>
    <mergeCell ref="E125:E126"/>
    <mergeCell ref="E103:E104"/>
    <mergeCell ref="E105:E106"/>
    <mergeCell ref="E107:E108"/>
    <mergeCell ref="E109:E110"/>
    <mergeCell ref="E111:E112"/>
    <mergeCell ref="E113:E114"/>
    <mergeCell ref="E91:E92"/>
    <mergeCell ref="E93:E94"/>
    <mergeCell ref="E95:E96"/>
    <mergeCell ref="E97:E98"/>
    <mergeCell ref="E99:E100"/>
    <mergeCell ref="E101:E102"/>
    <mergeCell ref="E79:E80"/>
    <mergeCell ref="E81:E82"/>
    <mergeCell ref="E83:E84"/>
    <mergeCell ref="E85:E86"/>
    <mergeCell ref="E87:E88"/>
    <mergeCell ref="E89:E90"/>
    <mergeCell ref="E67:E68"/>
    <mergeCell ref="E69:E70"/>
    <mergeCell ref="E71:E72"/>
    <mergeCell ref="E73:E74"/>
    <mergeCell ref="E75:E76"/>
    <mergeCell ref="E77:E78"/>
    <mergeCell ref="E55:E56"/>
    <mergeCell ref="E57:E58"/>
    <mergeCell ref="E59:E60"/>
    <mergeCell ref="E61:E62"/>
    <mergeCell ref="E63:E64"/>
    <mergeCell ref="E65:E66"/>
    <mergeCell ref="E43:E44"/>
    <mergeCell ref="E45:E46"/>
    <mergeCell ref="E47:E48"/>
    <mergeCell ref="E49:E50"/>
    <mergeCell ref="E51:E52"/>
    <mergeCell ref="E53:E54"/>
    <mergeCell ref="E31:E32"/>
    <mergeCell ref="E33:E34"/>
    <mergeCell ref="E35:E36"/>
    <mergeCell ref="E37:E38"/>
    <mergeCell ref="E39:E40"/>
    <mergeCell ref="E41:E42"/>
    <mergeCell ref="E19:E20"/>
    <mergeCell ref="E21:E22"/>
    <mergeCell ref="E23:E24"/>
    <mergeCell ref="E25:E26"/>
    <mergeCell ref="E27:E28"/>
    <mergeCell ref="E29:E30"/>
    <mergeCell ref="E9:E10"/>
    <mergeCell ref="E7:E8"/>
    <mergeCell ref="E11:E12"/>
    <mergeCell ref="E13:E14"/>
    <mergeCell ref="E15:E16"/>
    <mergeCell ref="E17:E18"/>
  </mergeCells>
  <conditionalFormatting sqref="F7:Y35 F37:Y46 K36:Y36 F49:Y112 H47:Y47 I48:Y48 F114:Y134 K113:Y113 F136:Y206 K135:Y135 F5:Y5 K4:Y4">
    <cfRule type="expression" dxfId="42" priority="40" stopIfTrue="1">
      <formula>F4=0</formula>
    </cfRule>
  </conditionalFormatting>
  <conditionalFormatting sqref="F36:J36">
    <cfRule type="expression" dxfId="41" priority="14" stopIfTrue="1">
      <formula>F36=0</formula>
    </cfRule>
  </conditionalFormatting>
  <conditionalFormatting sqref="F36:J36">
    <cfRule type="expression" dxfId="40" priority="13" stopIfTrue="1">
      <formula>F36=0</formula>
    </cfRule>
  </conditionalFormatting>
  <conditionalFormatting sqref="F47:G47">
    <cfRule type="expression" dxfId="39" priority="12" stopIfTrue="1">
      <formula>F47=0</formula>
    </cfRule>
  </conditionalFormatting>
  <conditionalFormatting sqref="F47:G47">
    <cfRule type="expression" dxfId="38" priority="11" stopIfTrue="1">
      <formula>F47=0</formula>
    </cfRule>
  </conditionalFormatting>
  <conditionalFormatting sqref="F48:H48">
    <cfRule type="expression" dxfId="37" priority="10" stopIfTrue="1">
      <formula>F48=0</formula>
    </cfRule>
  </conditionalFormatting>
  <conditionalFormatting sqref="F48:H48">
    <cfRule type="expression" dxfId="36" priority="9" stopIfTrue="1">
      <formula>F48=0</formula>
    </cfRule>
  </conditionalFormatting>
  <conditionalFormatting sqref="F113:J113">
    <cfRule type="expression" dxfId="35" priority="6" stopIfTrue="1">
      <formula>F113=0</formula>
    </cfRule>
  </conditionalFormatting>
  <conditionalFormatting sqref="F113:J113">
    <cfRule type="expression" dxfId="34" priority="5" stopIfTrue="1">
      <formula>F113=0</formula>
    </cfRule>
  </conditionalFormatting>
  <conditionalFormatting sqref="F135:J135">
    <cfRule type="expression" dxfId="33" priority="4" stopIfTrue="1">
      <formula>F135=0</formula>
    </cfRule>
  </conditionalFormatting>
  <conditionalFormatting sqref="F135:J135">
    <cfRule type="expression" dxfId="32" priority="3" stopIfTrue="1">
      <formula>F135=0</formula>
    </cfRule>
  </conditionalFormatting>
  <conditionalFormatting sqref="F4:J4">
    <cfRule type="expression" dxfId="31" priority="2" stopIfTrue="1">
      <formula>F4=0</formula>
    </cfRule>
  </conditionalFormatting>
  <conditionalFormatting sqref="F4:J4">
    <cfRule type="expression" dxfId="30" priority="1" stopIfTrue="1">
      <formula>F4=0</formula>
    </cfRule>
  </conditionalFormatting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a">
                <anchor moveWithCells="1" sizeWithCells="1">
                  <from>
                    <xdr:col>0</xdr:col>
                    <xdr:colOff>277586</xdr:colOff>
                    <xdr:row>3</xdr:row>
                    <xdr:rowOff>0</xdr:rowOff>
                  </from>
                  <to>
                    <xdr:col>2</xdr:col>
                    <xdr:colOff>10886</xdr:colOff>
                    <xdr:row>4</xdr:row>
                    <xdr:rowOff>10886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pb">
                <anchor moveWithCells="1" sizeWithCells="1">
                  <from>
                    <xdr:col>2</xdr:col>
                    <xdr:colOff>10886</xdr:colOff>
                    <xdr:row>4</xdr:row>
                    <xdr:rowOff>0</xdr:rowOff>
                  </from>
                  <to>
                    <xdr:col>3</xdr:col>
                    <xdr:colOff>10886</xdr:colOff>
                    <xdr:row>5</xdr:row>
                    <xdr:rowOff>10886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sb">
                <anchor moveWithCells="1" sizeWithCells="1">
                  <from>
                    <xdr:col>0</xdr:col>
                    <xdr:colOff>293914</xdr:colOff>
                    <xdr:row>4</xdr:row>
                    <xdr:rowOff>10886</xdr:rowOff>
                  </from>
                  <to>
                    <xdr:col>2</xdr:col>
                    <xdr:colOff>10886</xdr:colOff>
                    <xdr:row>5</xdr:row>
                    <xdr:rowOff>10886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pa">
                <anchor moveWithCells="1" sizeWithCells="1">
                  <from>
                    <xdr:col>2</xdr:col>
                    <xdr:colOff>10886</xdr:colOff>
                    <xdr:row>3</xdr:row>
                    <xdr:rowOff>27214</xdr:rowOff>
                  </from>
                  <to>
                    <xdr:col>3</xdr:col>
                    <xdr:colOff>10886</xdr:colOff>
                    <xdr:row>4</xdr:row>
                    <xdr:rowOff>10886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print="0" autoFill="0" autoPict="0" macro="[0]!ra">
                <anchor moveWithCells="1" sizeWithCells="1">
                  <from>
                    <xdr:col>3</xdr:col>
                    <xdr:colOff>10886</xdr:colOff>
                    <xdr:row>3</xdr:row>
                    <xdr:rowOff>10886</xdr:rowOff>
                  </from>
                  <to>
                    <xdr:col>4</xdr:col>
                    <xdr:colOff>0</xdr:colOff>
                    <xdr:row>4</xdr:row>
                    <xdr:rowOff>10886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Button 6">
              <controlPr defaultSize="0" print="0" autoFill="0" autoPict="0" macro="[0]!rb">
                <anchor moveWithCells="1" sizeWithCells="1">
                  <from>
                    <xdr:col>3</xdr:col>
                    <xdr:colOff>10886</xdr:colOff>
                    <xdr:row>4</xdr:row>
                    <xdr:rowOff>27214</xdr:rowOff>
                  </from>
                  <to>
                    <xdr:col>4</xdr:col>
                    <xdr:colOff>10886</xdr:colOff>
                    <xdr:row>5</xdr:row>
                    <xdr:rowOff>10886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9" name="Button 7">
              <controlPr defaultSize="0" print="0" autoFill="0" autoPict="0" macro="[0]!rrb">
                <anchor moveWithCells="1" sizeWithCells="1">
                  <from>
                    <xdr:col>4</xdr:col>
                    <xdr:colOff>10886</xdr:colOff>
                    <xdr:row>4</xdr:row>
                    <xdr:rowOff>10886</xdr:rowOff>
                  </from>
                  <to>
                    <xdr:col>4</xdr:col>
                    <xdr:colOff>293914</xdr:colOff>
                    <xdr:row>5</xdr:row>
                    <xdr:rowOff>10886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0" name="Button 8">
              <controlPr defaultSize="0" print="0" autoFill="0" autoPict="0" macro="[0]!rra">
                <anchor moveWithCells="1" sizeWithCells="1">
                  <from>
                    <xdr:col>4</xdr:col>
                    <xdr:colOff>0</xdr:colOff>
                    <xdr:row>2</xdr:row>
                    <xdr:rowOff>201386</xdr:rowOff>
                  </from>
                  <to>
                    <xdr:col>5</xdr:col>
                    <xdr:colOff>0</xdr:colOff>
                    <xdr:row>4</xdr:row>
                    <xdr:rowOff>10886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1" name="Button 9">
              <controlPr defaultSize="0" print="0" autoFill="0" autoPict="0" macro="[0]!inicio">
                <anchor moveWithCells="1" sizeWithCells="1">
                  <from>
                    <xdr:col>1</xdr:col>
                    <xdr:colOff>0</xdr:colOff>
                    <xdr:row>1</xdr:row>
                    <xdr:rowOff>65314</xdr:rowOff>
                  </from>
                  <to>
                    <xdr:col>2</xdr:col>
                    <xdr:colOff>293914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2" name="Spinner 10">
              <controlPr defaultSize="0" autoPict="0" macro="[0]!genera">
                <anchor moveWithCells="1" sizeWithCells="1">
                  <from>
                    <xdr:col>4</xdr:col>
                    <xdr:colOff>27214</xdr:colOff>
                    <xdr:row>1</xdr:row>
                    <xdr:rowOff>65314</xdr:rowOff>
                  </from>
                  <to>
                    <xdr:col>4</xdr:col>
                    <xdr:colOff>277586</xdr:colOff>
                    <xdr:row>2</xdr:row>
                    <xdr:rowOff>179614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8ADAD9-6333-4514-8AD3-AE50B4A46C22}">
  <sheetPr codeName="Sheet3"/>
  <dimension ref="D2:AV206"/>
  <sheetViews>
    <sheetView showGridLines="0" zoomScale="150" zoomScaleNormal="150" workbookViewId="0"/>
  </sheetViews>
  <sheetFormatPr baseColWidth="10" defaultColWidth="3.85546875" defaultRowHeight="15.9" x14ac:dyDescent="0.45"/>
  <cols>
    <col min="5" max="5" width="3.85546875" customWidth="1"/>
    <col min="12" max="12" width="3.85546875" style="3" customWidth="1"/>
  </cols>
  <sheetData>
    <row r="2" spans="4:48" x14ac:dyDescent="0.45">
      <c r="AA2" s="1" t="s">
        <v>0</v>
      </c>
    </row>
    <row r="3" spans="4:48" x14ac:dyDescent="0.45">
      <c r="L3"/>
      <c r="AA3" s="1" t="s">
        <v>1</v>
      </c>
    </row>
    <row r="4" spans="4:48" x14ac:dyDescent="0.45">
      <c r="F4" s="4">
        <v>1</v>
      </c>
      <c r="G4" s="4">
        <v>2</v>
      </c>
      <c r="H4" s="4">
        <v>3</v>
      </c>
      <c r="I4" s="4">
        <v>4</v>
      </c>
      <c r="J4" s="4">
        <v>5</v>
      </c>
      <c r="K4" s="4">
        <v>6</v>
      </c>
      <c r="L4" s="4">
        <v>7</v>
      </c>
      <c r="M4" s="4">
        <v>8</v>
      </c>
      <c r="N4" s="4">
        <v>9</v>
      </c>
      <c r="O4" s="4">
        <v>10</v>
      </c>
      <c r="P4" s="4">
        <v>11</v>
      </c>
      <c r="Q4" s="4">
        <v>12</v>
      </c>
      <c r="R4" s="4">
        <v>13</v>
      </c>
      <c r="S4" s="4">
        <v>14</v>
      </c>
      <c r="T4" s="4">
        <v>15</v>
      </c>
      <c r="U4" s="4">
        <v>16</v>
      </c>
      <c r="V4" s="4">
        <v>17</v>
      </c>
      <c r="W4" s="4">
        <v>18</v>
      </c>
      <c r="X4" s="4">
        <v>19</v>
      </c>
      <c r="Y4" s="4">
        <v>20</v>
      </c>
      <c r="AA4" s="1" t="s">
        <v>2</v>
      </c>
    </row>
    <row r="5" spans="4:48" x14ac:dyDescent="0.45">
      <c r="F5" s="4">
        <v>0</v>
      </c>
      <c r="G5" s="4">
        <v>0</v>
      </c>
      <c r="H5" s="4">
        <v>0</v>
      </c>
      <c r="I5" s="4">
        <v>0</v>
      </c>
      <c r="J5" s="4">
        <v>0</v>
      </c>
      <c r="K5" s="4">
        <v>0</v>
      </c>
      <c r="L5" s="4">
        <v>0</v>
      </c>
      <c r="M5" s="4">
        <v>0</v>
      </c>
      <c r="N5" s="4">
        <v>0</v>
      </c>
      <c r="O5" s="4">
        <v>0</v>
      </c>
      <c r="P5" s="4">
        <v>0</v>
      </c>
      <c r="Q5" s="4">
        <v>0</v>
      </c>
      <c r="R5" s="4">
        <v>0</v>
      </c>
      <c r="S5" s="4">
        <v>0</v>
      </c>
      <c r="T5" s="4">
        <v>0</v>
      </c>
      <c r="U5" s="4">
        <v>0</v>
      </c>
      <c r="V5" s="4">
        <v>0</v>
      </c>
      <c r="W5" s="4">
        <v>0</v>
      </c>
      <c r="X5" s="4">
        <v>0</v>
      </c>
      <c r="Y5" s="4">
        <v>0</v>
      </c>
      <c r="AA5" s="1" t="s">
        <v>3</v>
      </c>
    </row>
    <row r="6" spans="4:48" ht="16.3" thickBot="1" x14ac:dyDescent="0.5">
      <c r="L6"/>
      <c r="AA6" s="1" t="s">
        <v>4</v>
      </c>
    </row>
    <row r="7" spans="4:48" ht="16" customHeight="1" x14ac:dyDescent="0.45">
      <c r="D7" s="17">
        <f>IF(SUM(F7:K8)&gt;0,0,"")</f>
        <v>0</v>
      </c>
      <c r="E7" s="17" t="s">
        <v>11</v>
      </c>
      <c r="F7" s="4">
        <v>14</v>
      </c>
      <c r="G7" s="4">
        <v>3</v>
      </c>
      <c r="H7" s="4">
        <v>15</v>
      </c>
      <c r="I7" s="4">
        <v>12</v>
      </c>
      <c r="J7" s="4">
        <v>16</v>
      </c>
      <c r="K7" s="4">
        <v>13</v>
      </c>
      <c r="L7" s="4">
        <v>2</v>
      </c>
      <c r="M7" s="4">
        <v>5</v>
      </c>
      <c r="N7" s="4">
        <v>11</v>
      </c>
      <c r="O7" s="4">
        <v>18</v>
      </c>
      <c r="P7" s="4">
        <v>17</v>
      </c>
      <c r="Q7" s="4">
        <v>4</v>
      </c>
      <c r="R7" s="4">
        <v>8</v>
      </c>
      <c r="S7" s="4">
        <v>1</v>
      </c>
      <c r="T7" s="4">
        <v>6</v>
      </c>
      <c r="U7" s="4">
        <v>20</v>
      </c>
      <c r="V7" s="4">
        <v>10</v>
      </c>
      <c r="W7" s="4">
        <v>7</v>
      </c>
      <c r="X7" s="4">
        <v>19</v>
      </c>
      <c r="Y7" s="4">
        <v>9</v>
      </c>
      <c r="AA7" s="1" t="s">
        <v>5</v>
      </c>
    </row>
    <row r="8" spans="4:48" ht="16.3" thickBot="1" x14ac:dyDescent="0.5">
      <c r="D8" s="18"/>
      <c r="E8" s="18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AA8" s="1" t="s">
        <v>6</v>
      </c>
    </row>
    <row r="9" spans="4:48" ht="16" customHeight="1" x14ac:dyDescent="0.45">
      <c r="D9" s="17">
        <f>IF(SUM(F9:K10)&gt;0,D7+1,"")</f>
        <v>1</v>
      </c>
      <c r="E9" s="15" t="s">
        <v>12</v>
      </c>
      <c r="F9" s="4">
        <v>3</v>
      </c>
      <c r="G9" s="4">
        <v>15</v>
      </c>
      <c r="H9" s="4">
        <v>12</v>
      </c>
      <c r="I9" s="4">
        <v>16</v>
      </c>
      <c r="J9" s="4">
        <v>13</v>
      </c>
      <c r="K9" s="4">
        <v>2</v>
      </c>
      <c r="L9" s="4">
        <v>5</v>
      </c>
      <c r="M9" s="4">
        <v>11</v>
      </c>
      <c r="N9" s="4">
        <v>18</v>
      </c>
      <c r="O9" s="4">
        <v>17</v>
      </c>
      <c r="P9" s="4">
        <v>4</v>
      </c>
      <c r="Q9" s="4">
        <v>8</v>
      </c>
      <c r="R9" s="4">
        <v>1</v>
      </c>
      <c r="S9" s="4">
        <v>6</v>
      </c>
      <c r="T9" s="4">
        <v>20</v>
      </c>
      <c r="U9" s="4">
        <v>10</v>
      </c>
      <c r="V9" s="4">
        <v>7</v>
      </c>
      <c r="W9" s="4">
        <v>19</v>
      </c>
      <c r="X9" s="4">
        <v>9</v>
      </c>
      <c r="Y9" s="4">
        <v>14</v>
      </c>
      <c r="AA9" s="1" t="s">
        <v>7</v>
      </c>
    </row>
    <row r="10" spans="4:48" ht="16.3" thickBot="1" x14ac:dyDescent="0.5">
      <c r="D10" s="18"/>
      <c r="E10" s="16"/>
      <c r="F10" s="4">
        <v>0</v>
      </c>
      <c r="G10" s="4">
        <v>0</v>
      </c>
      <c r="H10" s="4">
        <v>0</v>
      </c>
      <c r="I10" s="4">
        <v>0</v>
      </c>
      <c r="J10" s="4">
        <v>0</v>
      </c>
      <c r="K10" s="4">
        <v>0</v>
      </c>
      <c r="L10" s="4">
        <v>0</v>
      </c>
      <c r="M10" s="4">
        <v>0</v>
      </c>
      <c r="N10" s="4">
        <v>0</v>
      </c>
      <c r="O10" s="4">
        <v>0</v>
      </c>
      <c r="P10" s="4">
        <v>0</v>
      </c>
      <c r="Q10" s="4">
        <v>0</v>
      </c>
      <c r="R10" s="4">
        <v>0</v>
      </c>
      <c r="S10" s="4">
        <v>0</v>
      </c>
      <c r="T10" s="4">
        <v>0</v>
      </c>
      <c r="U10" s="4">
        <v>0</v>
      </c>
      <c r="V10" s="4">
        <v>0</v>
      </c>
      <c r="W10" s="4">
        <v>0</v>
      </c>
      <c r="X10" s="4">
        <v>0</v>
      </c>
      <c r="Y10" s="4">
        <v>0</v>
      </c>
      <c r="AA10" s="1" t="s">
        <v>8</v>
      </c>
    </row>
    <row r="11" spans="4:48" x14ac:dyDescent="0.45">
      <c r="D11" s="17">
        <f>IF(SUM(F11:K12)&gt;0,D9+1,"")</f>
        <v>2</v>
      </c>
      <c r="E11" s="15" t="s">
        <v>13</v>
      </c>
      <c r="F11" s="4">
        <v>15</v>
      </c>
      <c r="G11" s="4">
        <v>12</v>
      </c>
      <c r="H11" s="4">
        <v>16</v>
      </c>
      <c r="I11" s="4">
        <v>13</v>
      </c>
      <c r="J11" s="4">
        <v>2</v>
      </c>
      <c r="K11" s="4">
        <v>5</v>
      </c>
      <c r="L11" s="4">
        <v>11</v>
      </c>
      <c r="M11" s="4">
        <v>18</v>
      </c>
      <c r="N11" s="4">
        <v>17</v>
      </c>
      <c r="O11" s="4">
        <v>4</v>
      </c>
      <c r="P11" s="4">
        <v>8</v>
      </c>
      <c r="Q11" s="4">
        <v>1</v>
      </c>
      <c r="R11" s="4">
        <v>6</v>
      </c>
      <c r="S11" s="4">
        <v>20</v>
      </c>
      <c r="T11" s="4">
        <v>10</v>
      </c>
      <c r="U11" s="4">
        <v>7</v>
      </c>
      <c r="V11" s="4">
        <v>19</v>
      </c>
      <c r="W11" s="4">
        <v>9</v>
      </c>
      <c r="X11" s="4">
        <v>14</v>
      </c>
      <c r="Y11" s="4">
        <v>0</v>
      </c>
      <c r="AA11" s="1" t="s">
        <v>9</v>
      </c>
    </row>
    <row r="12" spans="4:48" ht="16.3" thickBot="1" x14ac:dyDescent="0.5">
      <c r="D12" s="18"/>
      <c r="E12" s="16"/>
      <c r="F12" s="4">
        <v>3</v>
      </c>
      <c r="G12" s="4">
        <v>0</v>
      </c>
      <c r="H12" s="4">
        <v>0</v>
      </c>
      <c r="I12" s="4">
        <v>0</v>
      </c>
      <c r="J12" s="4">
        <v>0</v>
      </c>
      <c r="K12" s="4">
        <v>0</v>
      </c>
      <c r="L12" s="4">
        <v>0</v>
      </c>
      <c r="M12" s="4">
        <v>0</v>
      </c>
      <c r="N12" s="4">
        <v>0</v>
      </c>
      <c r="O12" s="4">
        <v>0</v>
      </c>
      <c r="P12" s="4">
        <v>0</v>
      </c>
      <c r="Q12" s="4">
        <v>0</v>
      </c>
      <c r="R12" s="4">
        <v>0</v>
      </c>
      <c r="S12" s="4">
        <v>0</v>
      </c>
      <c r="T12" s="4">
        <v>0</v>
      </c>
      <c r="U12" s="4">
        <v>0</v>
      </c>
      <c r="V12" s="4">
        <v>0</v>
      </c>
      <c r="W12" s="4">
        <v>0</v>
      </c>
      <c r="X12" s="4">
        <v>0</v>
      </c>
      <c r="Y12" s="4">
        <v>0</v>
      </c>
      <c r="AA12" s="1" t="s">
        <v>10</v>
      </c>
    </row>
    <row r="13" spans="4:48" x14ac:dyDescent="0.45">
      <c r="D13" s="17">
        <f>IF(SUM(F13:K14)&gt;0,D11+1,"")</f>
        <v>3</v>
      </c>
      <c r="E13" s="15" t="s">
        <v>12</v>
      </c>
      <c r="F13" s="4">
        <v>12</v>
      </c>
      <c r="G13" s="4">
        <v>16</v>
      </c>
      <c r="H13" s="4">
        <v>13</v>
      </c>
      <c r="I13" s="4">
        <v>2</v>
      </c>
      <c r="J13" s="4">
        <v>5</v>
      </c>
      <c r="K13" s="4">
        <v>11</v>
      </c>
      <c r="L13" s="4">
        <v>18</v>
      </c>
      <c r="M13" s="4">
        <v>17</v>
      </c>
      <c r="N13" s="4">
        <v>4</v>
      </c>
      <c r="O13" s="4">
        <v>8</v>
      </c>
      <c r="P13" s="4">
        <v>1</v>
      </c>
      <c r="Q13" s="4">
        <v>6</v>
      </c>
      <c r="R13" s="4">
        <v>20</v>
      </c>
      <c r="S13" s="4">
        <v>10</v>
      </c>
      <c r="T13" s="4">
        <v>7</v>
      </c>
      <c r="U13" s="4">
        <v>19</v>
      </c>
      <c r="V13" s="4">
        <v>9</v>
      </c>
      <c r="W13" s="4">
        <v>14</v>
      </c>
      <c r="X13" s="4">
        <v>15</v>
      </c>
      <c r="Y13" s="4">
        <v>0</v>
      </c>
    </row>
    <row r="14" spans="4:48" ht="16.3" thickBot="1" x14ac:dyDescent="0.5">
      <c r="D14" s="18"/>
      <c r="E14" s="16"/>
      <c r="F14" s="4">
        <v>3</v>
      </c>
      <c r="G14" s="4">
        <v>0</v>
      </c>
      <c r="H14" s="4">
        <v>0</v>
      </c>
      <c r="I14" s="4">
        <v>0</v>
      </c>
      <c r="J14" s="4">
        <v>0</v>
      </c>
      <c r="K14" s="4">
        <v>0</v>
      </c>
      <c r="L14" s="4">
        <v>0</v>
      </c>
      <c r="M14" s="4">
        <v>0</v>
      </c>
      <c r="N14" s="4">
        <v>0</v>
      </c>
      <c r="O14" s="4">
        <v>0</v>
      </c>
      <c r="P14" s="4">
        <v>0</v>
      </c>
      <c r="Q14" s="4">
        <v>0</v>
      </c>
      <c r="R14" s="4">
        <v>0</v>
      </c>
      <c r="S14" s="4">
        <v>0</v>
      </c>
      <c r="T14" s="4">
        <v>0</v>
      </c>
      <c r="U14" s="4">
        <v>0</v>
      </c>
      <c r="V14" s="4">
        <v>0</v>
      </c>
      <c r="W14" s="4">
        <v>0</v>
      </c>
      <c r="X14" s="4">
        <v>0</v>
      </c>
      <c r="Y14" s="4">
        <v>0</v>
      </c>
      <c r="AA14" s="4">
        <v>14</v>
      </c>
      <c r="AB14" s="11">
        <v>3</v>
      </c>
      <c r="AC14" s="4">
        <v>15</v>
      </c>
      <c r="AD14" s="4">
        <v>12</v>
      </c>
      <c r="AE14" s="4">
        <v>16</v>
      </c>
      <c r="AF14" s="4">
        <v>13</v>
      </c>
      <c r="AG14" s="11">
        <v>2</v>
      </c>
      <c r="AH14" s="11">
        <v>5</v>
      </c>
      <c r="AI14" s="4">
        <v>11</v>
      </c>
      <c r="AJ14" s="4">
        <v>18</v>
      </c>
      <c r="AK14" s="4">
        <v>17</v>
      </c>
      <c r="AL14" s="11">
        <v>4</v>
      </c>
      <c r="AM14" s="4">
        <v>8</v>
      </c>
      <c r="AN14" s="11">
        <v>1</v>
      </c>
      <c r="AO14" s="4">
        <v>6</v>
      </c>
      <c r="AP14" s="4">
        <v>20</v>
      </c>
      <c r="AQ14" s="4">
        <v>10</v>
      </c>
      <c r="AR14" s="4">
        <v>7</v>
      </c>
      <c r="AS14" s="4">
        <v>19</v>
      </c>
      <c r="AT14" s="4">
        <v>9</v>
      </c>
    </row>
    <row r="15" spans="4:48" x14ac:dyDescent="0.45">
      <c r="D15" s="17">
        <f>IF(SUM(F15:K16)&gt;0,D13+1,"")</f>
        <v>4</v>
      </c>
      <c r="E15" s="15" t="s">
        <v>12</v>
      </c>
      <c r="F15" s="4">
        <v>16</v>
      </c>
      <c r="G15" s="4">
        <v>13</v>
      </c>
      <c r="H15" s="4">
        <v>2</v>
      </c>
      <c r="I15" s="4">
        <v>5</v>
      </c>
      <c r="J15" s="4">
        <v>11</v>
      </c>
      <c r="K15" s="4">
        <v>18</v>
      </c>
      <c r="L15" s="4">
        <v>17</v>
      </c>
      <c r="M15" s="4">
        <v>4</v>
      </c>
      <c r="N15" s="4">
        <v>8</v>
      </c>
      <c r="O15" s="4">
        <v>1</v>
      </c>
      <c r="P15" s="4">
        <v>6</v>
      </c>
      <c r="Q15" s="4">
        <v>20</v>
      </c>
      <c r="R15" s="4">
        <v>10</v>
      </c>
      <c r="S15" s="4">
        <v>7</v>
      </c>
      <c r="T15" s="4">
        <v>19</v>
      </c>
      <c r="U15" s="4">
        <v>9</v>
      </c>
      <c r="V15" s="4">
        <v>14</v>
      </c>
      <c r="W15" s="4">
        <v>15</v>
      </c>
      <c r="X15" s="4">
        <v>12</v>
      </c>
      <c r="Y15" s="4">
        <v>0</v>
      </c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</row>
    <row r="16" spans="4:48" ht="16.3" thickBot="1" x14ac:dyDescent="0.5">
      <c r="D16" s="18"/>
      <c r="E16" s="16"/>
      <c r="F16" s="4">
        <v>3</v>
      </c>
      <c r="G16" s="4">
        <v>0</v>
      </c>
      <c r="H16" s="4">
        <v>0</v>
      </c>
      <c r="I16" s="4">
        <v>0</v>
      </c>
      <c r="J16" s="4">
        <v>0</v>
      </c>
      <c r="K16" s="4">
        <v>0</v>
      </c>
      <c r="L16" s="4">
        <v>0</v>
      </c>
      <c r="M16" s="4">
        <v>0</v>
      </c>
      <c r="N16" s="4">
        <v>0</v>
      </c>
      <c r="O16" s="4">
        <v>0</v>
      </c>
      <c r="P16" s="4">
        <v>0</v>
      </c>
      <c r="Q16" s="4">
        <v>0</v>
      </c>
      <c r="R16" s="4">
        <v>0</v>
      </c>
      <c r="S16" s="4">
        <v>0</v>
      </c>
      <c r="T16" s="4">
        <v>0</v>
      </c>
      <c r="U16" s="4">
        <v>0</v>
      </c>
      <c r="V16" s="4">
        <v>0</v>
      </c>
      <c r="W16" s="4">
        <v>0</v>
      </c>
      <c r="X16" s="4">
        <v>0</v>
      </c>
      <c r="Y16" s="4">
        <v>0</v>
      </c>
      <c r="AV16" t="s">
        <v>23</v>
      </c>
    </row>
    <row r="17" spans="4:48" x14ac:dyDescent="0.45">
      <c r="D17" s="17">
        <f>IF(SUM(F17:K18)&gt;0,D15+1,"")</f>
        <v>5</v>
      </c>
      <c r="E17" s="15" t="s">
        <v>12</v>
      </c>
      <c r="F17" s="4">
        <v>13</v>
      </c>
      <c r="G17" s="4">
        <v>2</v>
      </c>
      <c r="H17" s="4">
        <v>5</v>
      </c>
      <c r="I17" s="4">
        <v>11</v>
      </c>
      <c r="J17" s="4">
        <v>18</v>
      </c>
      <c r="K17" s="4">
        <v>17</v>
      </c>
      <c r="L17" s="4">
        <v>4</v>
      </c>
      <c r="M17" s="4">
        <v>8</v>
      </c>
      <c r="N17" s="4">
        <v>1</v>
      </c>
      <c r="O17" s="4">
        <v>6</v>
      </c>
      <c r="P17" s="4">
        <v>20</v>
      </c>
      <c r="Q17" s="4">
        <v>10</v>
      </c>
      <c r="R17" s="4">
        <v>7</v>
      </c>
      <c r="S17" s="4">
        <v>19</v>
      </c>
      <c r="T17" s="4">
        <v>9</v>
      </c>
      <c r="U17" s="4">
        <v>14</v>
      </c>
      <c r="V17" s="4">
        <v>15</v>
      </c>
      <c r="W17" s="4">
        <v>12</v>
      </c>
      <c r="X17" s="4">
        <v>16</v>
      </c>
      <c r="Y17" s="4">
        <v>0</v>
      </c>
      <c r="AA17" s="8">
        <v>6</v>
      </c>
      <c r="AB17" s="8">
        <v>20</v>
      </c>
      <c r="AC17" s="8">
        <v>10</v>
      </c>
      <c r="AD17" s="8">
        <v>7</v>
      </c>
      <c r="AE17" s="8">
        <v>19</v>
      </c>
      <c r="AF17" s="8">
        <v>9</v>
      </c>
      <c r="AG17" s="8">
        <v>14</v>
      </c>
      <c r="AH17" s="8">
        <v>15</v>
      </c>
      <c r="AI17" s="8">
        <v>12</v>
      </c>
      <c r="AJ17" s="8">
        <v>16</v>
      </c>
      <c r="AK17" s="8">
        <v>13</v>
      </c>
      <c r="AL17" s="8">
        <v>11</v>
      </c>
      <c r="AM17" s="8">
        <v>18</v>
      </c>
      <c r="AN17" s="8">
        <v>17</v>
      </c>
      <c r="AO17" s="8">
        <v>8</v>
      </c>
      <c r="AP17" s="4">
        <v>0</v>
      </c>
      <c r="AQ17" s="4">
        <v>0</v>
      </c>
      <c r="AR17" s="4">
        <v>0</v>
      </c>
      <c r="AS17" s="4">
        <v>0</v>
      </c>
      <c r="AT17" s="4">
        <v>0</v>
      </c>
    </row>
    <row r="18" spans="4:48" ht="16.3" thickBot="1" x14ac:dyDescent="0.5">
      <c r="D18" s="18"/>
      <c r="E18" s="16"/>
      <c r="F18" s="4">
        <v>3</v>
      </c>
      <c r="G18" s="4">
        <v>0</v>
      </c>
      <c r="H18" s="4">
        <v>0</v>
      </c>
      <c r="I18" s="4">
        <v>0</v>
      </c>
      <c r="J18" s="4">
        <v>0</v>
      </c>
      <c r="K18" s="4">
        <v>0</v>
      </c>
      <c r="L18" s="4">
        <v>0</v>
      </c>
      <c r="M18" s="4">
        <v>0</v>
      </c>
      <c r="N18" s="4">
        <v>0</v>
      </c>
      <c r="O18" s="4">
        <v>0</v>
      </c>
      <c r="P18" s="4">
        <v>0</v>
      </c>
      <c r="Q18" s="4">
        <v>0</v>
      </c>
      <c r="R18" s="4">
        <v>0</v>
      </c>
      <c r="S18" s="4">
        <v>0</v>
      </c>
      <c r="T18" s="4">
        <v>0</v>
      </c>
      <c r="U18" s="4">
        <v>0</v>
      </c>
      <c r="V18" s="4">
        <v>0</v>
      </c>
      <c r="W18" s="4">
        <v>0</v>
      </c>
      <c r="X18" s="4">
        <v>0</v>
      </c>
      <c r="Y18" s="4">
        <v>0</v>
      </c>
      <c r="AA18" s="7">
        <v>1</v>
      </c>
      <c r="AB18" s="7">
        <v>4</v>
      </c>
      <c r="AC18" s="7">
        <v>5</v>
      </c>
      <c r="AD18" s="7">
        <v>2</v>
      </c>
      <c r="AE18" s="7">
        <v>3</v>
      </c>
      <c r="AF18" s="4">
        <v>0</v>
      </c>
      <c r="AG18" s="4">
        <v>0</v>
      </c>
      <c r="AH18" s="4">
        <v>0</v>
      </c>
      <c r="AI18" s="4">
        <v>0</v>
      </c>
      <c r="AJ18" s="4">
        <v>0</v>
      </c>
      <c r="AK18" s="4">
        <v>0</v>
      </c>
      <c r="AL18" s="4">
        <v>0</v>
      </c>
      <c r="AM18" s="4">
        <v>0</v>
      </c>
      <c r="AN18" s="4">
        <v>0</v>
      </c>
      <c r="AO18" s="4">
        <v>0</v>
      </c>
      <c r="AP18" s="4">
        <v>0</v>
      </c>
      <c r="AQ18" s="4">
        <v>0</v>
      </c>
      <c r="AR18" s="4">
        <v>0</v>
      </c>
      <c r="AS18" s="4">
        <v>0</v>
      </c>
      <c r="AT18" s="4">
        <v>0</v>
      </c>
    </row>
    <row r="19" spans="4:48" x14ac:dyDescent="0.45">
      <c r="D19" s="17">
        <f>IF(SUM(F19:K20)&gt;0,D17+1,"")</f>
        <v>6</v>
      </c>
      <c r="E19" s="15" t="s">
        <v>12</v>
      </c>
      <c r="F19" s="4">
        <v>2</v>
      </c>
      <c r="G19" s="4">
        <v>5</v>
      </c>
      <c r="H19" s="4">
        <v>11</v>
      </c>
      <c r="I19" s="4">
        <v>18</v>
      </c>
      <c r="J19" s="4">
        <v>17</v>
      </c>
      <c r="K19" s="4">
        <v>4</v>
      </c>
      <c r="L19" s="4">
        <v>8</v>
      </c>
      <c r="M19" s="4">
        <v>1</v>
      </c>
      <c r="N19" s="4">
        <v>6</v>
      </c>
      <c r="O19" s="4">
        <v>20</v>
      </c>
      <c r="P19" s="4">
        <v>10</v>
      </c>
      <c r="Q19" s="4">
        <v>7</v>
      </c>
      <c r="R19" s="4">
        <v>19</v>
      </c>
      <c r="S19" s="4">
        <v>9</v>
      </c>
      <c r="T19" s="4">
        <v>14</v>
      </c>
      <c r="U19" s="4">
        <v>15</v>
      </c>
      <c r="V19" s="4">
        <v>12</v>
      </c>
      <c r="W19" s="4">
        <v>16</v>
      </c>
      <c r="X19" s="4">
        <v>13</v>
      </c>
      <c r="Y19" s="4">
        <v>0</v>
      </c>
      <c r="AV19" t="s">
        <v>21</v>
      </c>
    </row>
    <row r="20" spans="4:48" ht="16.3" thickBot="1" x14ac:dyDescent="0.5">
      <c r="D20" s="18"/>
      <c r="E20" s="16"/>
      <c r="F20" s="4">
        <v>3</v>
      </c>
      <c r="G20" s="4">
        <v>0</v>
      </c>
      <c r="H20" s="4">
        <v>0</v>
      </c>
      <c r="I20" s="4">
        <v>0</v>
      </c>
      <c r="J20" s="4">
        <v>0</v>
      </c>
      <c r="K20" s="4">
        <v>0</v>
      </c>
      <c r="L20" s="4">
        <v>0</v>
      </c>
      <c r="M20" s="4">
        <v>0</v>
      </c>
      <c r="N20" s="4">
        <v>0</v>
      </c>
      <c r="O20" s="4">
        <v>0</v>
      </c>
      <c r="P20" s="4">
        <v>0</v>
      </c>
      <c r="Q20" s="4">
        <v>0</v>
      </c>
      <c r="R20" s="4">
        <v>0</v>
      </c>
      <c r="S20" s="4">
        <v>0</v>
      </c>
      <c r="T20" s="4">
        <v>0</v>
      </c>
      <c r="U20" s="4">
        <v>0</v>
      </c>
      <c r="V20" s="4">
        <v>0</v>
      </c>
      <c r="W20" s="4">
        <v>0</v>
      </c>
      <c r="X20" s="4">
        <v>0</v>
      </c>
      <c r="Y20" s="4">
        <v>0</v>
      </c>
      <c r="AA20" s="6">
        <v>4</v>
      </c>
      <c r="AB20" s="6">
        <v>5</v>
      </c>
      <c r="AC20" s="8">
        <v>6</v>
      </c>
      <c r="AD20" s="8">
        <v>20</v>
      </c>
      <c r="AE20" s="8">
        <v>10</v>
      </c>
      <c r="AF20" s="8">
        <v>7</v>
      </c>
      <c r="AG20" s="8">
        <v>19</v>
      </c>
      <c r="AH20" s="8">
        <v>9</v>
      </c>
      <c r="AI20" s="8">
        <v>14</v>
      </c>
      <c r="AJ20" s="8">
        <v>15</v>
      </c>
      <c r="AK20" s="8">
        <v>12</v>
      </c>
      <c r="AL20" s="8">
        <v>16</v>
      </c>
      <c r="AM20" s="8">
        <v>13</v>
      </c>
      <c r="AN20" s="8">
        <v>11</v>
      </c>
      <c r="AO20" s="8">
        <v>18</v>
      </c>
      <c r="AP20" s="8">
        <v>17</v>
      </c>
      <c r="AQ20" s="8">
        <v>8</v>
      </c>
      <c r="AR20" s="4">
        <v>0</v>
      </c>
      <c r="AS20" s="4">
        <v>0</v>
      </c>
      <c r="AT20" s="4">
        <v>0</v>
      </c>
    </row>
    <row r="21" spans="4:48" x14ac:dyDescent="0.45">
      <c r="D21" s="17">
        <f>IF(SUM(F21:K22)&gt;0,D19+1,"")</f>
        <v>7</v>
      </c>
      <c r="E21" s="15" t="s">
        <v>13</v>
      </c>
      <c r="F21" s="4">
        <v>5</v>
      </c>
      <c r="G21" s="4">
        <v>11</v>
      </c>
      <c r="H21" s="4">
        <v>18</v>
      </c>
      <c r="I21" s="4">
        <v>17</v>
      </c>
      <c r="J21" s="4">
        <v>4</v>
      </c>
      <c r="K21" s="4">
        <v>8</v>
      </c>
      <c r="L21" s="4">
        <v>1</v>
      </c>
      <c r="M21" s="4">
        <v>6</v>
      </c>
      <c r="N21" s="4">
        <v>20</v>
      </c>
      <c r="O21" s="4">
        <v>10</v>
      </c>
      <c r="P21" s="4">
        <v>7</v>
      </c>
      <c r="Q21" s="4">
        <v>19</v>
      </c>
      <c r="R21" s="4">
        <v>9</v>
      </c>
      <c r="S21" s="4">
        <v>14</v>
      </c>
      <c r="T21" s="4">
        <v>15</v>
      </c>
      <c r="U21" s="4">
        <v>12</v>
      </c>
      <c r="V21" s="4">
        <v>16</v>
      </c>
      <c r="W21" s="4">
        <v>13</v>
      </c>
      <c r="X21" s="4">
        <v>0</v>
      </c>
      <c r="Y21" s="4">
        <v>0</v>
      </c>
      <c r="AA21" s="10">
        <v>3</v>
      </c>
      <c r="AB21" s="10">
        <v>2</v>
      </c>
      <c r="AC21" s="10">
        <v>1</v>
      </c>
      <c r="AD21" s="4">
        <v>0</v>
      </c>
      <c r="AE21" s="4">
        <v>0</v>
      </c>
      <c r="AF21" s="4">
        <v>0</v>
      </c>
      <c r="AG21" s="4">
        <v>0</v>
      </c>
      <c r="AH21" s="4">
        <v>0</v>
      </c>
      <c r="AI21" s="4">
        <v>0</v>
      </c>
      <c r="AJ21" s="4">
        <v>0</v>
      </c>
      <c r="AK21" s="4">
        <v>0</v>
      </c>
      <c r="AL21" s="4">
        <v>0</v>
      </c>
      <c r="AM21" s="4">
        <v>0</v>
      </c>
      <c r="AN21" s="4">
        <v>0</v>
      </c>
      <c r="AO21" s="4">
        <v>0</v>
      </c>
      <c r="AP21" s="4">
        <v>0</v>
      </c>
      <c r="AQ21" s="4">
        <v>0</v>
      </c>
      <c r="AR21" s="4">
        <v>0</v>
      </c>
      <c r="AS21" s="4">
        <v>0</v>
      </c>
      <c r="AT21" s="4">
        <v>0</v>
      </c>
    </row>
    <row r="22" spans="4:48" ht="16.3" thickBot="1" x14ac:dyDescent="0.5">
      <c r="D22" s="18"/>
      <c r="E22" s="16"/>
      <c r="F22" s="4">
        <v>2</v>
      </c>
      <c r="G22" s="4">
        <v>3</v>
      </c>
      <c r="H22" s="4">
        <v>0</v>
      </c>
      <c r="I22" s="4">
        <v>0</v>
      </c>
      <c r="J22" s="4">
        <v>0</v>
      </c>
      <c r="K22" s="4">
        <v>0</v>
      </c>
      <c r="L22" s="4">
        <v>0</v>
      </c>
      <c r="M22" s="4">
        <v>0</v>
      </c>
      <c r="N22" s="4">
        <v>0</v>
      </c>
      <c r="O22" s="4">
        <v>0</v>
      </c>
      <c r="P22" s="4">
        <v>0</v>
      </c>
      <c r="Q22" s="4">
        <v>0</v>
      </c>
      <c r="R22" s="4">
        <v>0</v>
      </c>
      <c r="S22" s="4">
        <v>0</v>
      </c>
      <c r="T22" s="4">
        <v>0</v>
      </c>
      <c r="U22" s="4">
        <v>0</v>
      </c>
      <c r="V22" s="4">
        <v>0</v>
      </c>
      <c r="W22" s="4">
        <v>0</v>
      </c>
      <c r="X22" s="4">
        <v>0</v>
      </c>
      <c r="Y22" s="4">
        <v>0</v>
      </c>
      <c r="AV22" t="s">
        <v>20</v>
      </c>
    </row>
    <row r="23" spans="4:48" x14ac:dyDescent="0.45">
      <c r="D23" s="17">
        <f>IF(SUM(F23:K24)&gt;0,D21+1,"")</f>
        <v>8</v>
      </c>
      <c r="E23" s="15" t="s">
        <v>13</v>
      </c>
      <c r="F23" s="4">
        <v>11</v>
      </c>
      <c r="G23" s="4">
        <v>18</v>
      </c>
      <c r="H23" s="4">
        <v>17</v>
      </c>
      <c r="I23" s="4">
        <v>4</v>
      </c>
      <c r="J23" s="4">
        <v>8</v>
      </c>
      <c r="K23" s="4">
        <v>1</v>
      </c>
      <c r="L23" s="4">
        <v>6</v>
      </c>
      <c r="M23" s="4">
        <v>20</v>
      </c>
      <c r="N23" s="4">
        <v>10</v>
      </c>
      <c r="O23" s="4">
        <v>7</v>
      </c>
      <c r="P23" s="4">
        <v>19</v>
      </c>
      <c r="Q23" s="4">
        <v>9</v>
      </c>
      <c r="R23" s="4">
        <v>14</v>
      </c>
      <c r="S23" s="4">
        <v>15</v>
      </c>
      <c r="T23" s="4">
        <v>12</v>
      </c>
      <c r="U23" s="4">
        <v>16</v>
      </c>
      <c r="V23" s="4">
        <v>13</v>
      </c>
      <c r="W23" s="4">
        <v>0</v>
      </c>
      <c r="X23" s="4">
        <v>0</v>
      </c>
      <c r="Y23" s="4">
        <v>0</v>
      </c>
      <c r="AA23" s="11">
        <v>6</v>
      </c>
      <c r="AB23" s="4">
        <v>20</v>
      </c>
      <c r="AC23" s="11">
        <v>10</v>
      </c>
      <c r="AD23" s="11">
        <v>7</v>
      </c>
      <c r="AE23" s="4">
        <v>19</v>
      </c>
      <c r="AF23" s="11">
        <v>9</v>
      </c>
      <c r="AG23" s="4">
        <v>14</v>
      </c>
      <c r="AH23" s="4">
        <v>15</v>
      </c>
      <c r="AI23" s="4">
        <v>12</v>
      </c>
      <c r="AJ23" s="4">
        <v>16</v>
      </c>
      <c r="AK23" s="4">
        <v>13</v>
      </c>
      <c r="AL23" s="11">
        <v>11</v>
      </c>
      <c r="AM23" s="4">
        <v>18</v>
      </c>
      <c r="AN23" s="4">
        <v>17</v>
      </c>
      <c r="AO23" s="11">
        <v>8</v>
      </c>
      <c r="AP23" s="4">
        <v>0</v>
      </c>
      <c r="AQ23" s="4">
        <v>0</v>
      </c>
      <c r="AR23" s="4">
        <v>0</v>
      </c>
      <c r="AS23" s="4">
        <v>0</v>
      </c>
      <c r="AT23" s="4">
        <v>0</v>
      </c>
    </row>
    <row r="24" spans="4:48" ht="16.3" thickBot="1" x14ac:dyDescent="0.5">
      <c r="D24" s="18"/>
      <c r="E24" s="16"/>
      <c r="F24" s="4">
        <v>5</v>
      </c>
      <c r="G24" s="4">
        <v>2</v>
      </c>
      <c r="H24" s="4">
        <v>3</v>
      </c>
      <c r="I24" s="4">
        <v>0</v>
      </c>
      <c r="J24" s="4">
        <v>0</v>
      </c>
      <c r="K24" s="4">
        <v>0</v>
      </c>
      <c r="L24" s="4">
        <v>0</v>
      </c>
      <c r="M24" s="4">
        <v>0</v>
      </c>
      <c r="N24" s="4">
        <v>0</v>
      </c>
      <c r="O24" s="4">
        <v>0</v>
      </c>
      <c r="P24" s="4">
        <v>0</v>
      </c>
      <c r="Q24" s="4">
        <v>0</v>
      </c>
      <c r="R24" s="4">
        <v>0</v>
      </c>
      <c r="S24" s="4">
        <v>0</v>
      </c>
      <c r="T24" s="4">
        <v>0</v>
      </c>
      <c r="U24" s="4">
        <v>0</v>
      </c>
      <c r="V24" s="4">
        <v>0</v>
      </c>
      <c r="W24" s="4">
        <v>0</v>
      </c>
      <c r="X24" s="4">
        <v>0</v>
      </c>
      <c r="Y24" s="4">
        <v>0</v>
      </c>
      <c r="AA24" s="9">
        <v>5</v>
      </c>
      <c r="AB24" s="9">
        <v>4</v>
      </c>
      <c r="AC24" s="9">
        <v>3</v>
      </c>
      <c r="AD24" s="9">
        <v>2</v>
      </c>
      <c r="AE24" s="9">
        <v>1</v>
      </c>
      <c r="AF24" s="4">
        <v>0</v>
      </c>
      <c r="AG24" s="4">
        <v>0</v>
      </c>
      <c r="AH24" s="4">
        <v>0</v>
      </c>
      <c r="AI24" s="4">
        <v>0</v>
      </c>
      <c r="AJ24" s="4">
        <v>0</v>
      </c>
      <c r="AK24" s="4">
        <v>0</v>
      </c>
      <c r="AL24" s="4">
        <v>0</v>
      </c>
      <c r="AM24" s="4">
        <v>0</v>
      </c>
      <c r="AN24" s="4">
        <v>0</v>
      </c>
      <c r="AO24" s="4">
        <v>0</v>
      </c>
      <c r="AP24" s="4">
        <v>0</v>
      </c>
      <c r="AQ24" s="4">
        <v>0</v>
      </c>
      <c r="AR24" s="4">
        <v>0</v>
      </c>
      <c r="AS24" s="4">
        <v>0</v>
      </c>
      <c r="AT24" s="4">
        <v>0</v>
      </c>
    </row>
    <row r="25" spans="4:48" x14ac:dyDescent="0.45">
      <c r="D25" s="17">
        <f>IF(SUM(F25:K26)&gt;0,D23+1,"")</f>
        <v>9</v>
      </c>
      <c r="E25" s="15" t="s">
        <v>12</v>
      </c>
      <c r="F25" s="4">
        <v>18</v>
      </c>
      <c r="G25" s="4">
        <v>17</v>
      </c>
      <c r="H25" s="4">
        <v>4</v>
      </c>
      <c r="I25" s="4">
        <v>8</v>
      </c>
      <c r="J25" s="4">
        <v>1</v>
      </c>
      <c r="K25" s="4">
        <v>6</v>
      </c>
      <c r="L25" s="4">
        <v>20</v>
      </c>
      <c r="M25" s="4">
        <v>10</v>
      </c>
      <c r="N25" s="4">
        <v>7</v>
      </c>
      <c r="O25" s="4">
        <v>19</v>
      </c>
      <c r="P25" s="4">
        <v>9</v>
      </c>
      <c r="Q25" s="4">
        <v>14</v>
      </c>
      <c r="R25" s="4">
        <v>15</v>
      </c>
      <c r="S25" s="4">
        <v>12</v>
      </c>
      <c r="T25" s="4">
        <v>16</v>
      </c>
      <c r="U25" s="4">
        <v>13</v>
      </c>
      <c r="V25" s="4">
        <v>11</v>
      </c>
      <c r="W25" s="4">
        <v>0</v>
      </c>
      <c r="X25" s="4">
        <v>0</v>
      </c>
      <c r="Y25" s="4">
        <v>0</v>
      </c>
      <c r="AV25" t="s">
        <v>22</v>
      </c>
    </row>
    <row r="26" spans="4:48" ht="16.3" thickBot="1" x14ac:dyDescent="0.5">
      <c r="D26" s="18"/>
      <c r="E26" s="16"/>
      <c r="F26" s="4">
        <v>5</v>
      </c>
      <c r="G26" s="4">
        <v>2</v>
      </c>
      <c r="H26" s="4">
        <v>3</v>
      </c>
      <c r="I26" s="4">
        <v>0</v>
      </c>
      <c r="J26" s="4">
        <v>0</v>
      </c>
      <c r="K26" s="4">
        <v>0</v>
      </c>
      <c r="L26" s="4">
        <v>0</v>
      </c>
      <c r="M26" s="4">
        <v>0</v>
      </c>
      <c r="N26" s="4">
        <v>0</v>
      </c>
      <c r="O26" s="4">
        <v>0</v>
      </c>
      <c r="P26" s="4">
        <v>0</v>
      </c>
      <c r="Q26" s="4">
        <v>0</v>
      </c>
      <c r="R26" s="4">
        <v>0</v>
      </c>
      <c r="S26" s="4">
        <v>0</v>
      </c>
      <c r="T26" s="4">
        <v>0</v>
      </c>
      <c r="U26" s="4">
        <v>0</v>
      </c>
      <c r="V26" s="4">
        <v>0</v>
      </c>
      <c r="W26" s="4">
        <v>0</v>
      </c>
      <c r="X26" s="4">
        <v>0</v>
      </c>
      <c r="Y26" s="4">
        <v>0</v>
      </c>
      <c r="AA26" s="4">
        <v>20</v>
      </c>
      <c r="AB26" s="4">
        <v>19</v>
      </c>
      <c r="AC26" s="4">
        <v>14</v>
      </c>
      <c r="AD26" s="4">
        <v>15</v>
      </c>
      <c r="AE26" s="4">
        <v>12</v>
      </c>
      <c r="AF26" s="4">
        <v>16</v>
      </c>
      <c r="AG26" s="4">
        <v>13</v>
      </c>
      <c r="AH26" s="4">
        <v>11</v>
      </c>
      <c r="AI26" s="4">
        <v>18</v>
      </c>
      <c r="AJ26" s="4">
        <v>17</v>
      </c>
      <c r="AK26" s="4">
        <v>0</v>
      </c>
      <c r="AL26" s="4">
        <v>0</v>
      </c>
      <c r="AM26" s="4">
        <v>0</v>
      </c>
      <c r="AN26" s="4">
        <v>0</v>
      </c>
      <c r="AO26" s="4">
        <v>0</v>
      </c>
      <c r="AP26" s="4">
        <v>0</v>
      </c>
      <c r="AQ26" s="4">
        <v>0</v>
      </c>
      <c r="AR26" s="4">
        <v>0</v>
      </c>
      <c r="AS26" s="4">
        <v>0</v>
      </c>
      <c r="AT26" s="4">
        <v>0</v>
      </c>
    </row>
    <row r="27" spans="4:48" x14ac:dyDescent="0.45">
      <c r="D27" s="17">
        <f>IF(SUM(F27:K28)&gt;0,D25+1,"")</f>
        <v>10</v>
      </c>
      <c r="E27" s="15" t="s">
        <v>12</v>
      </c>
      <c r="F27" s="4">
        <v>17</v>
      </c>
      <c r="G27" s="4">
        <v>4</v>
      </c>
      <c r="H27" s="4">
        <v>8</v>
      </c>
      <c r="I27" s="4">
        <v>1</v>
      </c>
      <c r="J27" s="4">
        <v>6</v>
      </c>
      <c r="K27" s="4">
        <v>20</v>
      </c>
      <c r="L27" s="4">
        <v>10</v>
      </c>
      <c r="M27" s="4">
        <v>7</v>
      </c>
      <c r="N27" s="4">
        <v>19</v>
      </c>
      <c r="O27" s="4">
        <v>9</v>
      </c>
      <c r="P27" s="4">
        <v>14</v>
      </c>
      <c r="Q27" s="4">
        <v>15</v>
      </c>
      <c r="R27" s="4">
        <v>12</v>
      </c>
      <c r="S27" s="4">
        <v>16</v>
      </c>
      <c r="T27" s="4">
        <v>13</v>
      </c>
      <c r="U27" s="4">
        <v>11</v>
      </c>
      <c r="V27" s="4">
        <v>18</v>
      </c>
      <c r="W27" s="4">
        <v>0</v>
      </c>
      <c r="X27" s="4">
        <v>0</v>
      </c>
      <c r="Y27" s="4">
        <v>0</v>
      </c>
      <c r="AA27" s="7">
        <v>8</v>
      </c>
      <c r="AB27" s="7">
        <v>9</v>
      </c>
      <c r="AC27" s="7">
        <v>7</v>
      </c>
      <c r="AD27" s="7">
        <v>10</v>
      </c>
      <c r="AE27" s="7">
        <v>6</v>
      </c>
      <c r="AF27" s="9">
        <v>5</v>
      </c>
      <c r="AG27" s="9">
        <v>4</v>
      </c>
      <c r="AH27" s="9">
        <v>3</v>
      </c>
      <c r="AI27" s="9">
        <v>2</v>
      </c>
      <c r="AJ27" s="9">
        <v>1</v>
      </c>
      <c r="AK27" s="4">
        <v>0</v>
      </c>
      <c r="AL27" s="4">
        <v>0</v>
      </c>
      <c r="AM27" s="4">
        <v>0</v>
      </c>
      <c r="AN27" s="4">
        <v>0</v>
      </c>
      <c r="AO27" s="4">
        <v>0</v>
      </c>
      <c r="AP27" s="4">
        <v>0</v>
      </c>
      <c r="AQ27" s="4">
        <v>0</v>
      </c>
      <c r="AR27" s="4">
        <v>0</v>
      </c>
      <c r="AS27" s="4">
        <v>0</v>
      </c>
      <c r="AT27" s="4">
        <v>0</v>
      </c>
    </row>
    <row r="28" spans="4:48" ht="16.3" thickBot="1" x14ac:dyDescent="0.5">
      <c r="D28" s="18"/>
      <c r="E28" s="16"/>
      <c r="F28" s="4">
        <v>5</v>
      </c>
      <c r="G28" s="4">
        <v>2</v>
      </c>
      <c r="H28" s="4">
        <v>3</v>
      </c>
      <c r="I28" s="4">
        <v>0</v>
      </c>
      <c r="J28" s="4">
        <v>0</v>
      </c>
      <c r="K28" s="4">
        <v>0</v>
      </c>
      <c r="L28" s="4">
        <v>0</v>
      </c>
      <c r="M28" s="4">
        <v>0</v>
      </c>
      <c r="N28" s="4">
        <v>0</v>
      </c>
      <c r="O28" s="4">
        <v>0</v>
      </c>
      <c r="P28" s="4">
        <v>0</v>
      </c>
      <c r="Q28" s="4">
        <v>0</v>
      </c>
      <c r="R28" s="4">
        <v>0</v>
      </c>
      <c r="S28" s="4">
        <v>0</v>
      </c>
      <c r="T28" s="4">
        <v>0</v>
      </c>
      <c r="U28" s="4">
        <v>0</v>
      </c>
      <c r="V28" s="4">
        <v>0</v>
      </c>
      <c r="W28" s="4">
        <v>0</v>
      </c>
      <c r="X28" s="4">
        <v>0</v>
      </c>
      <c r="Y28" s="4">
        <v>0</v>
      </c>
      <c r="AV28" t="s">
        <v>24</v>
      </c>
    </row>
    <row r="29" spans="4:48" x14ac:dyDescent="0.45">
      <c r="D29" s="17">
        <f>IF(SUM(F29:K30)&gt;0,D27+1,"")</f>
        <v>11</v>
      </c>
      <c r="E29" s="15" t="s">
        <v>12</v>
      </c>
      <c r="F29" s="4">
        <v>4</v>
      </c>
      <c r="G29" s="4">
        <v>8</v>
      </c>
      <c r="H29" s="4">
        <v>1</v>
      </c>
      <c r="I29" s="4">
        <v>6</v>
      </c>
      <c r="J29" s="4">
        <v>20</v>
      </c>
      <c r="K29" s="4">
        <v>10</v>
      </c>
      <c r="L29" s="4">
        <v>7</v>
      </c>
      <c r="M29" s="4">
        <v>19</v>
      </c>
      <c r="N29" s="4">
        <v>9</v>
      </c>
      <c r="O29" s="4">
        <v>14</v>
      </c>
      <c r="P29" s="4">
        <v>15</v>
      </c>
      <c r="Q29" s="4">
        <v>12</v>
      </c>
      <c r="R29" s="4">
        <v>16</v>
      </c>
      <c r="S29" s="4">
        <v>13</v>
      </c>
      <c r="T29" s="4">
        <v>11</v>
      </c>
      <c r="U29" s="4">
        <v>18</v>
      </c>
      <c r="V29" s="4">
        <v>17</v>
      </c>
      <c r="W29" s="4">
        <v>0</v>
      </c>
      <c r="X29" s="4">
        <v>0</v>
      </c>
      <c r="Y29" s="4">
        <v>0</v>
      </c>
      <c r="AA29" s="6">
        <v>9</v>
      </c>
      <c r="AB29" s="6">
        <v>10</v>
      </c>
      <c r="AC29" s="4">
        <v>20</v>
      </c>
      <c r="AD29" s="4">
        <v>19</v>
      </c>
      <c r="AE29" s="4">
        <v>14</v>
      </c>
      <c r="AF29" s="4">
        <v>15</v>
      </c>
      <c r="AG29" s="4">
        <v>12</v>
      </c>
      <c r="AH29" s="4">
        <v>16</v>
      </c>
      <c r="AI29" s="4">
        <v>13</v>
      </c>
      <c r="AJ29" s="4">
        <v>11</v>
      </c>
      <c r="AK29" s="4">
        <v>18</v>
      </c>
      <c r="AL29" s="4">
        <v>17</v>
      </c>
      <c r="AM29" s="4">
        <v>0</v>
      </c>
      <c r="AN29" s="4">
        <v>0</v>
      </c>
      <c r="AO29" s="4">
        <v>0</v>
      </c>
      <c r="AP29" s="4">
        <v>0</v>
      </c>
      <c r="AQ29" s="4">
        <v>0</v>
      </c>
      <c r="AR29" s="4">
        <v>0</v>
      </c>
      <c r="AS29" s="4">
        <v>0</v>
      </c>
      <c r="AT29" s="4">
        <v>0</v>
      </c>
    </row>
    <row r="30" spans="4:48" ht="16.3" thickBot="1" x14ac:dyDescent="0.5">
      <c r="D30" s="18"/>
      <c r="E30" s="16"/>
      <c r="F30" s="4">
        <v>5</v>
      </c>
      <c r="G30" s="4">
        <v>2</v>
      </c>
      <c r="H30" s="4">
        <v>3</v>
      </c>
      <c r="I30" s="4">
        <v>0</v>
      </c>
      <c r="J30" s="4">
        <v>0</v>
      </c>
      <c r="K30" s="4">
        <v>0</v>
      </c>
      <c r="L30" s="4">
        <v>0</v>
      </c>
      <c r="M30" s="4">
        <v>0</v>
      </c>
      <c r="N30" s="4">
        <v>0</v>
      </c>
      <c r="O30" s="4">
        <v>0</v>
      </c>
      <c r="P30" s="4">
        <v>0</v>
      </c>
      <c r="Q30" s="4">
        <v>0</v>
      </c>
      <c r="R30" s="4">
        <v>0</v>
      </c>
      <c r="S30" s="4">
        <v>0</v>
      </c>
      <c r="T30" s="4">
        <v>0</v>
      </c>
      <c r="U30" s="4">
        <v>0</v>
      </c>
      <c r="V30" s="4">
        <v>0</v>
      </c>
      <c r="W30" s="4">
        <v>0</v>
      </c>
      <c r="X30" s="4">
        <v>0</v>
      </c>
      <c r="Y30" s="4">
        <v>0</v>
      </c>
      <c r="AA30" s="10">
        <v>8</v>
      </c>
      <c r="AB30" s="10">
        <v>7</v>
      </c>
      <c r="AC30" s="10">
        <v>6</v>
      </c>
      <c r="AD30" s="9">
        <v>5</v>
      </c>
      <c r="AE30" s="9">
        <v>4</v>
      </c>
      <c r="AF30" s="9">
        <v>3</v>
      </c>
      <c r="AG30" s="9">
        <v>2</v>
      </c>
      <c r="AH30" s="9">
        <v>1</v>
      </c>
      <c r="AI30" s="4">
        <v>0</v>
      </c>
      <c r="AJ30" s="4">
        <v>0</v>
      </c>
      <c r="AK30" s="4">
        <v>0</v>
      </c>
      <c r="AL30" s="4">
        <v>0</v>
      </c>
      <c r="AM30" s="4">
        <v>0</v>
      </c>
      <c r="AN30" s="4">
        <v>0</v>
      </c>
      <c r="AO30" s="4">
        <v>0</v>
      </c>
      <c r="AP30" s="4">
        <v>0</v>
      </c>
      <c r="AQ30" s="4">
        <v>0</v>
      </c>
      <c r="AR30" s="4">
        <v>0</v>
      </c>
      <c r="AS30" s="4">
        <v>0</v>
      </c>
      <c r="AT30" s="4">
        <v>0</v>
      </c>
    </row>
    <row r="31" spans="4:48" x14ac:dyDescent="0.45">
      <c r="D31" s="17">
        <f>IF(SUM(F31:K32)&gt;0,D29+1,"")</f>
        <v>12</v>
      </c>
      <c r="E31" s="15" t="s">
        <v>13</v>
      </c>
      <c r="F31" s="4">
        <v>8</v>
      </c>
      <c r="G31" s="4">
        <v>1</v>
      </c>
      <c r="H31" s="4">
        <v>6</v>
      </c>
      <c r="I31" s="4">
        <v>20</v>
      </c>
      <c r="J31" s="4">
        <v>10</v>
      </c>
      <c r="K31" s="4">
        <v>7</v>
      </c>
      <c r="L31" s="4">
        <v>19</v>
      </c>
      <c r="M31" s="4">
        <v>9</v>
      </c>
      <c r="N31" s="4">
        <v>14</v>
      </c>
      <c r="O31" s="4">
        <v>15</v>
      </c>
      <c r="P31" s="4">
        <v>12</v>
      </c>
      <c r="Q31" s="4">
        <v>16</v>
      </c>
      <c r="R31" s="4">
        <v>13</v>
      </c>
      <c r="S31" s="4">
        <v>11</v>
      </c>
      <c r="T31" s="4">
        <v>18</v>
      </c>
      <c r="U31" s="4">
        <v>17</v>
      </c>
      <c r="V31" s="4">
        <v>0</v>
      </c>
      <c r="W31" s="4">
        <v>0</v>
      </c>
      <c r="X31" s="4">
        <v>0</v>
      </c>
      <c r="Y31" s="4">
        <v>0</v>
      </c>
      <c r="AV31" t="s">
        <v>20</v>
      </c>
    </row>
    <row r="32" spans="4:48" ht="16.3" thickBot="1" x14ac:dyDescent="0.5">
      <c r="D32" s="18"/>
      <c r="E32" s="16"/>
      <c r="F32" s="4">
        <v>4</v>
      </c>
      <c r="G32" s="4">
        <v>5</v>
      </c>
      <c r="H32" s="4">
        <v>2</v>
      </c>
      <c r="I32" s="4">
        <v>3</v>
      </c>
      <c r="J32" s="4">
        <v>0</v>
      </c>
      <c r="K32" s="4">
        <v>0</v>
      </c>
      <c r="L32" s="4">
        <v>0</v>
      </c>
      <c r="M32" s="4">
        <v>0</v>
      </c>
      <c r="N32" s="4">
        <v>0</v>
      </c>
      <c r="O32" s="4">
        <v>0</v>
      </c>
      <c r="P32" s="4">
        <v>0</v>
      </c>
      <c r="Q32" s="4">
        <v>0</v>
      </c>
      <c r="R32" s="4">
        <v>0</v>
      </c>
      <c r="S32" s="4">
        <v>0</v>
      </c>
      <c r="T32" s="4">
        <v>0</v>
      </c>
      <c r="U32" s="4">
        <v>0</v>
      </c>
      <c r="V32" s="4">
        <v>0</v>
      </c>
      <c r="W32" s="4">
        <v>0</v>
      </c>
      <c r="X32" s="4">
        <v>0</v>
      </c>
      <c r="Y32" s="4">
        <v>0</v>
      </c>
      <c r="AA32" s="4">
        <v>20</v>
      </c>
      <c r="AB32" s="4">
        <v>19</v>
      </c>
      <c r="AC32" s="11">
        <v>14</v>
      </c>
      <c r="AD32" s="11">
        <v>15</v>
      </c>
      <c r="AE32" s="11">
        <v>12</v>
      </c>
      <c r="AF32" s="4">
        <v>16</v>
      </c>
      <c r="AG32" s="11">
        <v>13</v>
      </c>
      <c r="AH32" s="11">
        <v>11</v>
      </c>
      <c r="AI32" s="4">
        <v>18</v>
      </c>
      <c r="AJ32" s="4">
        <v>17</v>
      </c>
      <c r="AK32" s="4">
        <v>0</v>
      </c>
      <c r="AL32" s="4">
        <v>0</v>
      </c>
      <c r="AM32" s="4">
        <v>0</v>
      </c>
      <c r="AN32" s="4">
        <v>0</v>
      </c>
      <c r="AO32" s="4">
        <v>0</v>
      </c>
      <c r="AP32" s="4">
        <v>0</v>
      </c>
      <c r="AQ32" s="4">
        <v>0</v>
      </c>
      <c r="AR32" s="4">
        <v>0</v>
      </c>
      <c r="AS32" s="4">
        <v>0</v>
      </c>
      <c r="AT32" s="4">
        <v>0</v>
      </c>
    </row>
    <row r="33" spans="4:48" x14ac:dyDescent="0.45">
      <c r="D33" s="17">
        <f>IF(SUM(F33:K34)&gt;0,D31+1,"")</f>
        <v>13</v>
      </c>
      <c r="E33" s="15" t="s">
        <v>12</v>
      </c>
      <c r="F33" s="4">
        <v>1</v>
      </c>
      <c r="G33" s="4">
        <v>6</v>
      </c>
      <c r="H33" s="4">
        <v>20</v>
      </c>
      <c r="I33" s="4">
        <v>10</v>
      </c>
      <c r="J33" s="4">
        <v>7</v>
      </c>
      <c r="K33" s="4">
        <v>19</v>
      </c>
      <c r="L33" s="4">
        <v>9</v>
      </c>
      <c r="M33" s="4">
        <v>14</v>
      </c>
      <c r="N33" s="4">
        <v>15</v>
      </c>
      <c r="O33" s="4">
        <v>12</v>
      </c>
      <c r="P33" s="4">
        <v>16</v>
      </c>
      <c r="Q33" s="4">
        <v>13</v>
      </c>
      <c r="R33" s="4">
        <v>11</v>
      </c>
      <c r="S33" s="4">
        <v>18</v>
      </c>
      <c r="T33" s="4">
        <v>17</v>
      </c>
      <c r="U33" s="4">
        <v>8</v>
      </c>
      <c r="V33" s="4">
        <v>0</v>
      </c>
      <c r="W33" s="4">
        <v>0</v>
      </c>
      <c r="X33" s="4">
        <v>0</v>
      </c>
      <c r="Y33" s="4">
        <v>0</v>
      </c>
      <c r="AA33" s="9">
        <v>10</v>
      </c>
      <c r="AB33" s="9">
        <v>9</v>
      </c>
      <c r="AC33" s="9">
        <v>8</v>
      </c>
      <c r="AD33" s="9">
        <v>7</v>
      </c>
      <c r="AE33" s="9">
        <v>6</v>
      </c>
      <c r="AF33" s="9">
        <v>5</v>
      </c>
      <c r="AG33" s="9">
        <v>4</v>
      </c>
      <c r="AH33" s="9">
        <v>3</v>
      </c>
      <c r="AI33" s="9">
        <v>2</v>
      </c>
      <c r="AJ33" s="9">
        <v>1</v>
      </c>
      <c r="AK33" s="4">
        <v>0</v>
      </c>
      <c r="AL33" s="4">
        <v>0</v>
      </c>
      <c r="AM33" s="4">
        <v>0</v>
      </c>
      <c r="AN33" s="4">
        <v>0</v>
      </c>
      <c r="AO33" s="4">
        <v>0</v>
      </c>
      <c r="AP33" s="4">
        <v>0</v>
      </c>
      <c r="AQ33" s="4">
        <v>0</v>
      </c>
      <c r="AR33" s="4">
        <v>0</v>
      </c>
      <c r="AS33" s="4">
        <v>0</v>
      </c>
      <c r="AT33" s="4">
        <v>0</v>
      </c>
    </row>
    <row r="34" spans="4:48" ht="16.3" thickBot="1" x14ac:dyDescent="0.5">
      <c r="D34" s="18"/>
      <c r="E34" s="16"/>
      <c r="F34" s="4">
        <v>4</v>
      </c>
      <c r="G34" s="4">
        <v>5</v>
      </c>
      <c r="H34" s="4">
        <v>2</v>
      </c>
      <c r="I34" s="4">
        <v>3</v>
      </c>
      <c r="J34" s="4">
        <v>0</v>
      </c>
      <c r="K34" s="4">
        <v>0</v>
      </c>
      <c r="L34" s="4">
        <v>0</v>
      </c>
      <c r="M34" s="4">
        <v>0</v>
      </c>
      <c r="N34" s="4">
        <v>0</v>
      </c>
      <c r="O34" s="4">
        <v>0</v>
      </c>
      <c r="P34" s="4">
        <v>0</v>
      </c>
      <c r="Q34" s="4">
        <v>0</v>
      </c>
      <c r="R34" s="4">
        <v>0</v>
      </c>
      <c r="S34" s="4">
        <v>0</v>
      </c>
      <c r="T34" s="4">
        <v>0</v>
      </c>
      <c r="U34" s="4">
        <v>0</v>
      </c>
      <c r="V34" s="4">
        <v>0</v>
      </c>
      <c r="W34" s="4">
        <v>0</v>
      </c>
      <c r="X34" s="4">
        <v>0</v>
      </c>
      <c r="Y34" s="4">
        <v>0</v>
      </c>
      <c r="AV34" t="s">
        <v>25</v>
      </c>
    </row>
    <row r="35" spans="4:48" x14ac:dyDescent="0.45">
      <c r="D35" s="17">
        <f>IF(SUM(F35:K36)&gt;0,D33+1,"")</f>
        <v>14</v>
      </c>
      <c r="E35" s="15" t="s">
        <v>13</v>
      </c>
      <c r="F35" s="4">
        <v>6</v>
      </c>
      <c r="G35" s="4">
        <v>20</v>
      </c>
      <c r="H35" s="4">
        <v>10</v>
      </c>
      <c r="I35" s="4">
        <v>7</v>
      </c>
      <c r="J35" s="4">
        <v>19</v>
      </c>
      <c r="K35" s="4">
        <v>9</v>
      </c>
      <c r="L35" s="4">
        <v>14</v>
      </c>
      <c r="M35" s="4">
        <v>15</v>
      </c>
      <c r="N35" s="4">
        <v>12</v>
      </c>
      <c r="O35" s="4">
        <v>16</v>
      </c>
      <c r="P35" s="4">
        <v>13</v>
      </c>
      <c r="Q35" s="4">
        <v>11</v>
      </c>
      <c r="R35" s="4">
        <v>18</v>
      </c>
      <c r="S35" s="4">
        <v>17</v>
      </c>
      <c r="T35" s="4">
        <v>8</v>
      </c>
      <c r="U35" s="4">
        <v>0</v>
      </c>
      <c r="V35" s="4">
        <v>0</v>
      </c>
      <c r="W35" s="4">
        <v>0</v>
      </c>
      <c r="X35" s="4">
        <v>0</v>
      </c>
      <c r="Y35" s="4">
        <v>0</v>
      </c>
      <c r="AA35" s="4">
        <v>18</v>
      </c>
      <c r="AB35" s="4">
        <v>17</v>
      </c>
      <c r="AC35" s="4">
        <v>20</v>
      </c>
      <c r="AD35" s="4">
        <v>19</v>
      </c>
      <c r="AE35" s="4">
        <v>16</v>
      </c>
      <c r="AF35" s="4">
        <v>0</v>
      </c>
      <c r="AG35" s="4">
        <v>0</v>
      </c>
      <c r="AH35" s="4">
        <v>0</v>
      </c>
      <c r="AI35" s="4">
        <v>0</v>
      </c>
      <c r="AJ35" s="4">
        <v>0</v>
      </c>
      <c r="AK35" s="4">
        <v>0</v>
      </c>
      <c r="AL35" s="4">
        <v>0</v>
      </c>
      <c r="AM35" s="4">
        <v>0</v>
      </c>
      <c r="AN35" s="4">
        <v>0</v>
      </c>
      <c r="AO35" s="4">
        <v>0</v>
      </c>
      <c r="AP35" s="4">
        <v>0</v>
      </c>
      <c r="AQ35" s="4">
        <v>0</v>
      </c>
      <c r="AR35" s="4">
        <v>0</v>
      </c>
      <c r="AS35" s="4">
        <v>0</v>
      </c>
      <c r="AT35" s="4">
        <v>0</v>
      </c>
    </row>
    <row r="36" spans="4:48" ht="16.3" thickBot="1" x14ac:dyDescent="0.5">
      <c r="D36" s="18"/>
      <c r="E36" s="16"/>
      <c r="F36" s="4">
        <v>1</v>
      </c>
      <c r="G36" s="4">
        <v>4</v>
      </c>
      <c r="H36" s="4">
        <v>5</v>
      </c>
      <c r="I36" s="4">
        <v>2</v>
      </c>
      <c r="J36" s="4">
        <v>3</v>
      </c>
      <c r="K36" s="4">
        <v>0</v>
      </c>
      <c r="L36" s="4">
        <v>0</v>
      </c>
      <c r="M36" s="4">
        <v>0</v>
      </c>
      <c r="N36" s="4">
        <v>0</v>
      </c>
      <c r="O36" s="4">
        <v>0</v>
      </c>
      <c r="P36" s="4">
        <v>0</v>
      </c>
      <c r="Q36" s="4">
        <v>0</v>
      </c>
      <c r="R36" s="4">
        <v>0</v>
      </c>
      <c r="S36" s="4">
        <v>0</v>
      </c>
      <c r="T36" s="4">
        <v>0</v>
      </c>
      <c r="U36" s="4">
        <v>0</v>
      </c>
      <c r="V36" s="4">
        <v>0</v>
      </c>
      <c r="W36" s="4">
        <v>0</v>
      </c>
      <c r="X36" s="4">
        <v>0</v>
      </c>
      <c r="Y36" s="4">
        <v>0</v>
      </c>
      <c r="AA36" s="7">
        <v>11</v>
      </c>
      <c r="AB36" s="7">
        <v>13</v>
      </c>
      <c r="AC36" s="7">
        <v>12</v>
      </c>
      <c r="AD36" s="7">
        <v>15</v>
      </c>
      <c r="AE36" s="7">
        <v>14</v>
      </c>
      <c r="AF36" s="9">
        <v>10</v>
      </c>
      <c r="AG36" s="9">
        <v>9</v>
      </c>
      <c r="AH36" s="9">
        <v>8</v>
      </c>
      <c r="AI36" s="9">
        <v>7</v>
      </c>
      <c r="AJ36" s="9">
        <v>6</v>
      </c>
      <c r="AK36" s="9">
        <v>5</v>
      </c>
      <c r="AL36" s="9">
        <v>4</v>
      </c>
      <c r="AM36" s="9">
        <v>3</v>
      </c>
      <c r="AN36" s="9">
        <v>2</v>
      </c>
      <c r="AO36" s="9">
        <v>1</v>
      </c>
      <c r="AP36" s="4">
        <v>0</v>
      </c>
      <c r="AQ36" s="4">
        <v>0</v>
      </c>
      <c r="AR36" s="4">
        <v>0</v>
      </c>
      <c r="AS36" s="4">
        <v>0</v>
      </c>
      <c r="AT36" s="4">
        <v>0</v>
      </c>
    </row>
    <row r="37" spans="4:48" x14ac:dyDescent="0.45">
      <c r="D37" s="17">
        <f>IF(SUM(F37:K38)&gt;0,D35+1,"")</f>
        <v>15</v>
      </c>
      <c r="E37" s="15" t="s">
        <v>14</v>
      </c>
      <c r="F37" s="4">
        <v>6</v>
      </c>
      <c r="G37" s="4">
        <v>20</v>
      </c>
      <c r="H37" s="4">
        <v>10</v>
      </c>
      <c r="I37" s="4">
        <v>7</v>
      </c>
      <c r="J37" s="4">
        <v>19</v>
      </c>
      <c r="K37" s="4">
        <v>9</v>
      </c>
      <c r="L37" s="4">
        <v>14</v>
      </c>
      <c r="M37" s="4">
        <v>15</v>
      </c>
      <c r="N37" s="4">
        <v>12</v>
      </c>
      <c r="O37" s="4">
        <v>16</v>
      </c>
      <c r="P37" s="4">
        <v>13</v>
      </c>
      <c r="Q37" s="4">
        <v>11</v>
      </c>
      <c r="R37" s="4">
        <v>18</v>
      </c>
      <c r="S37" s="4">
        <v>17</v>
      </c>
      <c r="T37" s="4">
        <v>8</v>
      </c>
      <c r="U37" s="4">
        <v>0</v>
      </c>
      <c r="V37" s="4">
        <v>0</v>
      </c>
      <c r="W37" s="4">
        <v>0</v>
      </c>
      <c r="X37" s="4">
        <v>0</v>
      </c>
      <c r="Y37" s="4">
        <v>0</v>
      </c>
      <c r="AV37" t="s">
        <v>26</v>
      </c>
    </row>
    <row r="38" spans="4:48" ht="16.3" thickBot="1" x14ac:dyDescent="0.5">
      <c r="D38" s="18"/>
      <c r="E38" s="16"/>
      <c r="F38" s="4">
        <v>4</v>
      </c>
      <c r="G38" s="4">
        <v>5</v>
      </c>
      <c r="H38" s="4">
        <v>2</v>
      </c>
      <c r="I38" s="4">
        <v>3</v>
      </c>
      <c r="J38" s="4">
        <v>1</v>
      </c>
      <c r="K38" s="4">
        <v>0</v>
      </c>
      <c r="L38" s="4">
        <v>0</v>
      </c>
      <c r="M38" s="4">
        <v>0</v>
      </c>
      <c r="N38" s="4">
        <v>0</v>
      </c>
      <c r="O38" s="4">
        <v>0</v>
      </c>
      <c r="P38" s="4">
        <v>0</v>
      </c>
      <c r="Q38" s="4">
        <v>0</v>
      </c>
      <c r="R38" s="4">
        <v>0</v>
      </c>
      <c r="S38" s="4">
        <v>0</v>
      </c>
      <c r="T38" s="4">
        <v>0</v>
      </c>
      <c r="U38" s="4">
        <v>0</v>
      </c>
      <c r="V38" s="4">
        <v>0</v>
      </c>
      <c r="W38" s="4">
        <v>0</v>
      </c>
      <c r="X38" s="4">
        <v>0</v>
      </c>
      <c r="Y38" s="4">
        <v>0</v>
      </c>
      <c r="AA38" s="6">
        <v>12</v>
      </c>
      <c r="AB38" s="6">
        <v>13</v>
      </c>
      <c r="AC38" s="6">
        <v>14</v>
      </c>
      <c r="AD38" s="6">
        <v>15</v>
      </c>
      <c r="AE38" s="4">
        <v>18</v>
      </c>
      <c r="AF38" s="4">
        <v>17</v>
      </c>
      <c r="AG38" s="4">
        <v>20</v>
      </c>
      <c r="AH38" s="4">
        <v>19</v>
      </c>
      <c r="AI38" s="4">
        <v>16</v>
      </c>
      <c r="AJ38" s="4">
        <v>0</v>
      </c>
      <c r="AK38" s="4">
        <v>0</v>
      </c>
      <c r="AL38" s="4">
        <v>0</v>
      </c>
      <c r="AM38" s="4">
        <v>0</v>
      </c>
      <c r="AN38" s="4">
        <v>0</v>
      </c>
      <c r="AO38" s="4">
        <v>0</v>
      </c>
      <c r="AP38" s="4">
        <v>0</v>
      </c>
      <c r="AQ38" s="4">
        <v>0</v>
      </c>
      <c r="AR38" s="4">
        <v>0</v>
      </c>
      <c r="AS38" s="4">
        <v>0</v>
      </c>
      <c r="AT38" s="4">
        <v>0</v>
      </c>
    </row>
    <row r="39" spans="4:48" x14ac:dyDescent="0.45">
      <c r="D39" s="17">
        <f>IF(SUM(F39:K40)&gt;0,D37+1,"")</f>
        <v>16</v>
      </c>
      <c r="E39" s="15" t="s">
        <v>14</v>
      </c>
      <c r="F39" s="4">
        <v>6</v>
      </c>
      <c r="G39" s="4">
        <v>20</v>
      </c>
      <c r="H39" s="4">
        <v>10</v>
      </c>
      <c r="I39" s="4">
        <v>7</v>
      </c>
      <c r="J39" s="4">
        <v>19</v>
      </c>
      <c r="K39" s="4">
        <v>9</v>
      </c>
      <c r="L39" s="4">
        <v>14</v>
      </c>
      <c r="M39" s="4">
        <v>15</v>
      </c>
      <c r="N39" s="4">
        <v>12</v>
      </c>
      <c r="O39" s="4">
        <v>16</v>
      </c>
      <c r="P39" s="4">
        <v>13</v>
      </c>
      <c r="Q39" s="4">
        <v>11</v>
      </c>
      <c r="R39" s="4">
        <v>18</v>
      </c>
      <c r="S39" s="4">
        <v>17</v>
      </c>
      <c r="T39" s="4">
        <v>8</v>
      </c>
      <c r="U39" s="4">
        <v>0</v>
      </c>
      <c r="V39" s="4">
        <v>0</v>
      </c>
      <c r="W39" s="4">
        <v>0</v>
      </c>
      <c r="X39" s="4">
        <v>0</v>
      </c>
      <c r="Y39" s="4">
        <v>0</v>
      </c>
      <c r="AA39" s="10">
        <v>11</v>
      </c>
      <c r="AB39" s="9">
        <v>10</v>
      </c>
      <c r="AC39" s="9">
        <v>9</v>
      </c>
      <c r="AD39" s="9">
        <v>8</v>
      </c>
      <c r="AE39" s="9">
        <v>7</v>
      </c>
      <c r="AF39" s="9">
        <v>6</v>
      </c>
      <c r="AG39" s="9">
        <v>5</v>
      </c>
      <c r="AH39" s="9">
        <v>4</v>
      </c>
      <c r="AI39" s="9">
        <v>3</v>
      </c>
      <c r="AJ39" s="9">
        <v>2</v>
      </c>
      <c r="AK39" s="9">
        <v>1</v>
      </c>
      <c r="AL39" s="4">
        <v>0</v>
      </c>
      <c r="AM39" s="4">
        <v>0</v>
      </c>
      <c r="AN39" s="4">
        <v>0</v>
      </c>
      <c r="AO39" s="4">
        <v>0</v>
      </c>
      <c r="AP39" s="4">
        <v>0</v>
      </c>
      <c r="AQ39" s="4">
        <v>0</v>
      </c>
      <c r="AR39" s="4">
        <v>0</v>
      </c>
      <c r="AS39" s="4">
        <v>0</v>
      </c>
      <c r="AT39" s="4">
        <v>0</v>
      </c>
    </row>
    <row r="40" spans="4:48" ht="16.3" thickBot="1" x14ac:dyDescent="0.5">
      <c r="D40" s="18"/>
      <c r="E40" s="16"/>
      <c r="F40" s="4">
        <v>5</v>
      </c>
      <c r="G40" s="4">
        <v>2</v>
      </c>
      <c r="H40" s="4">
        <v>3</v>
      </c>
      <c r="I40" s="4">
        <v>1</v>
      </c>
      <c r="J40" s="4">
        <v>4</v>
      </c>
      <c r="K40" s="4">
        <v>0</v>
      </c>
      <c r="L40" s="4">
        <v>0</v>
      </c>
      <c r="M40" s="4">
        <v>0</v>
      </c>
      <c r="N40" s="4">
        <v>0</v>
      </c>
      <c r="O40" s="4">
        <v>0</v>
      </c>
      <c r="P40" s="4">
        <v>0</v>
      </c>
      <c r="Q40" s="4">
        <v>0</v>
      </c>
      <c r="R40" s="4">
        <v>0</v>
      </c>
      <c r="S40" s="4">
        <v>0</v>
      </c>
      <c r="T40" s="4">
        <v>0</v>
      </c>
      <c r="U40" s="4">
        <v>0</v>
      </c>
      <c r="V40" s="4">
        <v>0</v>
      </c>
      <c r="W40" s="4">
        <v>0</v>
      </c>
      <c r="X40" s="4">
        <v>0</v>
      </c>
      <c r="Y40" s="4">
        <v>0</v>
      </c>
      <c r="AV40" t="s">
        <v>20</v>
      </c>
    </row>
    <row r="41" spans="4:48" x14ac:dyDescent="0.45">
      <c r="D41" s="17">
        <f>IF(SUM(F41:K42)&gt;0,D39+1,"")</f>
        <v>17</v>
      </c>
      <c r="E41" s="15" t="s">
        <v>15</v>
      </c>
      <c r="F41" s="4">
        <v>5</v>
      </c>
      <c r="G41" s="4">
        <v>6</v>
      </c>
      <c r="H41" s="4">
        <v>20</v>
      </c>
      <c r="I41" s="4">
        <v>10</v>
      </c>
      <c r="J41" s="4">
        <v>7</v>
      </c>
      <c r="K41" s="4">
        <v>19</v>
      </c>
      <c r="L41" s="4">
        <v>9</v>
      </c>
      <c r="M41" s="4">
        <v>14</v>
      </c>
      <c r="N41" s="4">
        <v>15</v>
      </c>
      <c r="O41" s="4">
        <v>12</v>
      </c>
      <c r="P41" s="4">
        <v>16</v>
      </c>
      <c r="Q41" s="4">
        <v>13</v>
      </c>
      <c r="R41" s="4">
        <v>11</v>
      </c>
      <c r="S41" s="4">
        <v>18</v>
      </c>
      <c r="T41" s="4">
        <v>17</v>
      </c>
      <c r="U41" s="4">
        <v>8</v>
      </c>
      <c r="V41" s="4">
        <v>0</v>
      </c>
      <c r="W41" s="4">
        <v>0</v>
      </c>
      <c r="X41" s="4">
        <v>0</v>
      </c>
      <c r="Y41" s="4">
        <v>0</v>
      </c>
      <c r="AA41" s="11">
        <v>18</v>
      </c>
      <c r="AB41" s="11">
        <v>17</v>
      </c>
      <c r="AC41" s="11">
        <v>20</v>
      </c>
      <c r="AD41" s="11">
        <v>19</v>
      </c>
      <c r="AE41" s="11">
        <v>16</v>
      </c>
      <c r="AF41" s="4">
        <v>0</v>
      </c>
      <c r="AG41" s="4">
        <v>0</v>
      </c>
      <c r="AH41" s="4">
        <v>0</v>
      </c>
      <c r="AI41" s="4">
        <v>0</v>
      </c>
      <c r="AJ41" s="4">
        <v>0</v>
      </c>
      <c r="AK41" s="4">
        <v>0</v>
      </c>
      <c r="AL41" s="4">
        <v>0</v>
      </c>
      <c r="AM41" s="4">
        <v>0</v>
      </c>
      <c r="AN41" s="4">
        <v>0</v>
      </c>
      <c r="AO41" s="4">
        <v>0</v>
      </c>
      <c r="AP41" s="4">
        <v>0</v>
      </c>
      <c r="AQ41" s="4">
        <v>0</v>
      </c>
      <c r="AR41" s="4">
        <v>0</v>
      </c>
      <c r="AS41" s="4">
        <v>0</v>
      </c>
      <c r="AT41" s="4">
        <v>0</v>
      </c>
    </row>
    <row r="42" spans="4:48" ht="16.3" thickBot="1" x14ac:dyDescent="0.5">
      <c r="D42" s="18"/>
      <c r="E42" s="16"/>
      <c r="F42" s="4">
        <v>2</v>
      </c>
      <c r="G42" s="4">
        <v>3</v>
      </c>
      <c r="H42" s="4">
        <v>1</v>
      </c>
      <c r="I42" s="4">
        <v>4</v>
      </c>
      <c r="J42" s="4">
        <v>0</v>
      </c>
      <c r="K42" s="4">
        <v>0</v>
      </c>
      <c r="L42" s="4">
        <v>0</v>
      </c>
      <c r="M42" s="4">
        <v>0</v>
      </c>
      <c r="N42" s="4">
        <v>0</v>
      </c>
      <c r="O42" s="4">
        <v>0</v>
      </c>
      <c r="P42" s="4">
        <v>0</v>
      </c>
      <c r="Q42" s="4">
        <v>0</v>
      </c>
      <c r="R42" s="4">
        <v>0</v>
      </c>
      <c r="S42" s="4">
        <v>0</v>
      </c>
      <c r="T42" s="4">
        <v>0</v>
      </c>
      <c r="U42" s="4">
        <v>0</v>
      </c>
      <c r="V42" s="4">
        <v>0</v>
      </c>
      <c r="W42" s="4">
        <v>0</v>
      </c>
      <c r="X42" s="4">
        <v>0</v>
      </c>
      <c r="Y42" s="4">
        <v>0</v>
      </c>
      <c r="AA42" s="9">
        <v>15</v>
      </c>
      <c r="AB42" s="9">
        <v>14</v>
      </c>
      <c r="AC42" s="9">
        <v>13</v>
      </c>
      <c r="AD42" s="9">
        <v>12</v>
      </c>
      <c r="AE42" s="9">
        <v>11</v>
      </c>
      <c r="AF42" s="9">
        <v>10</v>
      </c>
      <c r="AG42" s="9">
        <v>9</v>
      </c>
      <c r="AH42" s="9">
        <v>8</v>
      </c>
      <c r="AI42" s="9">
        <v>7</v>
      </c>
      <c r="AJ42" s="9">
        <v>6</v>
      </c>
      <c r="AK42" s="9">
        <v>5</v>
      </c>
      <c r="AL42" s="9">
        <v>4</v>
      </c>
      <c r="AM42" s="9">
        <v>3</v>
      </c>
      <c r="AN42" s="9">
        <v>2</v>
      </c>
      <c r="AO42" s="9">
        <v>1</v>
      </c>
      <c r="AP42" s="4">
        <v>0</v>
      </c>
      <c r="AQ42" s="4">
        <v>0</v>
      </c>
      <c r="AR42" s="4">
        <v>0</v>
      </c>
      <c r="AS42" s="4">
        <v>0</v>
      </c>
      <c r="AT42" s="4">
        <v>0</v>
      </c>
    </row>
    <row r="43" spans="4:48" x14ac:dyDescent="0.45">
      <c r="D43" s="17">
        <f>IF(SUM(F43:K44)&gt;0,D41+1,"")</f>
        <v>18</v>
      </c>
      <c r="E43" s="15" t="s">
        <v>16</v>
      </c>
      <c r="F43" s="4">
        <v>5</v>
      </c>
      <c r="G43" s="4">
        <v>6</v>
      </c>
      <c r="H43" s="4">
        <v>20</v>
      </c>
      <c r="I43" s="4">
        <v>10</v>
      </c>
      <c r="J43" s="4">
        <v>7</v>
      </c>
      <c r="K43" s="4">
        <v>19</v>
      </c>
      <c r="L43" s="4">
        <v>9</v>
      </c>
      <c r="M43" s="4">
        <v>14</v>
      </c>
      <c r="N43" s="4">
        <v>15</v>
      </c>
      <c r="O43" s="4">
        <v>12</v>
      </c>
      <c r="P43" s="4">
        <v>16</v>
      </c>
      <c r="Q43" s="4">
        <v>13</v>
      </c>
      <c r="R43" s="4">
        <v>11</v>
      </c>
      <c r="S43" s="4">
        <v>18</v>
      </c>
      <c r="T43" s="4">
        <v>17</v>
      </c>
      <c r="U43" s="4">
        <v>8</v>
      </c>
      <c r="V43" s="4">
        <v>0</v>
      </c>
      <c r="W43" s="4">
        <v>0</v>
      </c>
      <c r="X43" s="4">
        <v>0</v>
      </c>
      <c r="Y43" s="4">
        <v>0</v>
      </c>
      <c r="AV43" t="s">
        <v>27</v>
      </c>
    </row>
    <row r="44" spans="4:48" ht="16.3" thickBot="1" x14ac:dyDescent="0.5">
      <c r="D44" s="18"/>
      <c r="E44" s="16"/>
      <c r="F44" s="4">
        <v>4</v>
      </c>
      <c r="G44" s="4">
        <v>2</v>
      </c>
      <c r="H44" s="4">
        <v>3</v>
      </c>
      <c r="I44" s="4">
        <v>1</v>
      </c>
      <c r="J44" s="4">
        <v>0</v>
      </c>
      <c r="K44" s="4">
        <v>0</v>
      </c>
      <c r="L44" s="4">
        <v>0</v>
      </c>
      <c r="M44" s="4">
        <v>0</v>
      </c>
      <c r="N44" s="4">
        <v>0</v>
      </c>
      <c r="O44" s="4">
        <v>0</v>
      </c>
      <c r="P44" s="4">
        <v>0</v>
      </c>
      <c r="Q44" s="4">
        <v>0</v>
      </c>
      <c r="R44" s="4">
        <v>0</v>
      </c>
      <c r="S44" s="4">
        <v>0</v>
      </c>
      <c r="T44" s="4">
        <v>0</v>
      </c>
      <c r="U44" s="4">
        <v>0</v>
      </c>
      <c r="V44" s="4">
        <v>0</v>
      </c>
      <c r="W44" s="4">
        <v>0</v>
      </c>
      <c r="X44" s="4">
        <v>0</v>
      </c>
      <c r="Y44" s="4">
        <v>0</v>
      </c>
      <c r="AA44" s="6">
        <v>19</v>
      </c>
      <c r="AB44" s="6">
        <v>20</v>
      </c>
      <c r="AC44" s="4">
        <v>0</v>
      </c>
      <c r="AD44" s="4">
        <v>0</v>
      </c>
      <c r="AE44" s="4">
        <v>0</v>
      </c>
      <c r="AF44" s="4">
        <v>0</v>
      </c>
      <c r="AG44" s="4">
        <v>0</v>
      </c>
      <c r="AH44" s="4">
        <v>0</v>
      </c>
      <c r="AI44" s="4">
        <v>0</v>
      </c>
      <c r="AJ44" s="4">
        <v>0</v>
      </c>
      <c r="AK44" s="4">
        <v>0</v>
      </c>
      <c r="AL44" s="4">
        <v>0</v>
      </c>
      <c r="AM44" s="4">
        <v>0</v>
      </c>
      <c r="AN44" s="4">
        <v>0</v>
      </c>
      <c r="AO44" s="4">
        <v>0</v>
      </c>
      <c r="AP44" s="4">
        <v>0</v>
      </c>
      <c r="AQ44" s="4">
        <v>0</v>
      </c>
      <c r="AR44" s="4">
        <v>0</v>
      </c>
      <c r="AS44" s="4">
        <v>0</v>
      </c>
      <c r="AT44" s="4">
        <v>0</v>
      </c>
      <c r="AV44" t="s">
        <v>28</v>
      </c>
    </row>
    <row r="45" spans="4:48" x14ac:dyDescent="0.45">
      <c r="D45" s="17">
        <f>IF(SUM(F45:K46)&gt;0,D43+1,"")</f>
        <v>19</v>
      </c>
      <c r="E45" s="15" t="s">
        <v>15</v>
      </c>
      <c r="F45" s="4">
        <v>4</v>
      </c>
      <c r="G45" s="4">
        <v>5</v>
      </c>
      <c r="H45" s="4">
        <v>6</v>
      </c>
      <c r="I45" s="4">
        <v>20</v>
      </c>
      <c r="J45" s="4">
        <v>10</v>
      </c>
      <c r="K45" s="4">
        <v>7</v>
      </c>
      <c r="L45" s="4">
        <v>19</v>
      </c>
      <c r="M45" s="4">
        <v>9</v>
      </c>
      <c r="N45" s="4">
        <v>14</v>
      </c>
      <c r="O45" s="4">
        <v>15</v>
      </c>
      <c r="P45" s="4">
        <v>12</v>
      </c>
      <c r="Q45" s="4">
        <v>16</v>
      </c>
      <c r="R45" s="4">
        <v>13</v>
      </c>
      <c r="S45" s="4">
        <v>11</v>
      </c>
      <c r="T45" s="4">
        <v>18</v>
      </c>
      <c r="U45" s="4">
        <v>17</v>
      </c>
      <c r="V45" s="4">
        <v>8</v>
      </c>
      <c r="W45" s="4">
        <v>0</v>
      </c>
      <c r="X45" s="4">
        <v>0</v>
      </c>
      <c r="Y45" s="4">
        <v>0</v>
      </c>
      <c r="AA45" s="10">
        <v>18</v>
      </c>
      <c r="AB45" s="10">
        <v>17</v>
      </c>
      <c r="AC45" s="10">
        <v>16</v>
      </c>
      <c r="AD45" s="9">
        <v>15</v>
      </c>
      <c r="AE45" s="9">
        <v>14</v>
      </c>
      <c r="AF45" s="9">
        <v>13</v>
      </c>
      <c r="AG45" s="9">
        <v>12</v>
      </c>
      <c r="AH45" s="9">
        <v>11</v>
      </c>
      <c r="AI45" s="9">
        <v>10</v>
      </c>
      <c r="AJ45" s="9">
        <v>9</v>
      </c>
      <c r="AK45" s="9">
        <v>8</v>
      </c>
      <c r="AL45" s="9">
        <v>7</v>
      </c>
      <c r="AM45" s="9">
        <v>6</v>
      </c>
      <c r="AN45" s="9">
        <v>5</v>
      </c>
      <c r="AO45" s="9">
        <v>4</v>
      </c>
      <c r="AP45" s="9">
        <v>3</v>
      </c>
      <c r="AQ45" s="9">
        <v>2</v>
      </c>
      <c r="AR45" s="9">
        <v>1</v>
      </c>
      <c r="AS45" s="4">
        <v>0</v>
      </c>
      <c r="AT45" s="4">
        <v>0</v>
      </c>
    </row>
    <row r="46" spans="4:48" ht="16.3" thickBot="1" x14ac:dyDescent="0.5">
      <c r="D46" s="18"/>
      <c r="E46" s="16"/>
      <c r="F46" s="4">
        <v>2</v>
      </c>
      <c r="G46" s="4">
        <v>3</v>
      </c>
      <c r="H46" s="4">
        <v>1</v>
      </c>
      <c r="I46" s="4">
        <v>0</v>
      </c>
      <c r="J46" s="4">
        <v>0</v>
      </c>
      <c r="K46" s="4">
        <v>0</v>
      </c>
      <c r="L46" s="4">
        <v>0</v>
      </c>
      <c r="M46" s="4">
        <v>0</v>
      </c>
      <c r="N46" s="4">
        <v>0</v>
      </c>
      <c r="O46" s="4">
        <v>0</v>
      </c>
      <c r="P46" s="4">
        <v>0</v>
      </c>
      <c r="Q46" s="4">
        <v>0</v>
      </c>
      <c r="R46" s="4">
        <v>0</v>
      </c>
      <c r="S46" s="4">
        <v>0</v>
      </c>
      <c r="T46" s="4">
        <v>0</v>
      </c>
      <c r="U46" s="4">
        <v>0</v>
      </c>
      <c r="V46" s="4">
        <v>0</v>
      </c>
      <c r="W46" s="4">
        <v>0</v>
      </c>
      <c r="X46" s="4">
        <v>0</v>
      </c>
      <c r="Y46" s="4">
        <v>0</v>
      </c>
    </row>
    <row r="47" spans="4:48" x14ac:dyDescent="0.45">
      <c r="D47" s="17">
        <f>IF(SUM(F47:K48)&gt;0,D45+1,"")</f>
        <v>20</v>
      </c>
      <c r="E47" s="15" t="s">
        <v>17</v>
      </c>
      <c r="F47" s="4">
        <v>4</v>
      </c>
      <c r="G47" s="4">
        <v>5</v>
      </c>
      <c r="H47" s="4">
        <v>6</v>
      </c>
      <c r="I47" s="4">
        <v>20</v>
      </c>
      <c r="J47" s="4">
        <v>10</v>
      </c>
      <c r="K47" s="4">
        <v>7</v>
      </c>
      <c r="L47" s="4">
        <v>19</v>
      </c>
      <c r="M47" s="4">
        <v>9</v>
      </c>
      <c r="N47" s="4">
        <v>14</v>
      </c>
      <c r="O47" s="4">
        <v>15</v>
      </c>
      <c r="P47" s="4">
        <v>12</v>
      </c>
      <c r="Q47" s="4">
        <v>16</v>
      </c>
      <c r="R47" s="4">
        <v>13</v>
      </c>
      <c r="S47" s="4">
        <v>11</v>
      </c>
      <c r="T47" s="4">
        <v>18</v>
      </c>
      <c r="U47" s="4">
        <v>17</v>
      </c>
      <c r="V47" s="4">
        <v>8</v>
      </c>
      <c r="W47" s="4">
        <v>0</v>
      </c>
      <c r="X47" s="4">
        <v>0</v>
      </c>
      <c r="Y47" s="4">
        <v>0</v>
      </c>
      <c r="AA47" s="4">
        <v>1</v>
      </c>
      <c r="AB47" s="4">
        <v>2</v>
      </c>
      <c r="AC47" s="4">
        <v>3</v>
      </c>
      <c r="AD47" s="4">
        <v>4</v>
      </c>
      <c r="AE47" s="4">
        <v>5</v>
      </c>
      <c r="AF47" s="4">
        <v>6</v>
      </c>
      <c r="AG47" s="4">
        <v>7</v>
      </c>
      <c r="AH47" s="4">
        <v>8</v>
      </c>
      <c r="AI47" s="4">
        <v>9</v>
      </c>
      <c r="AJ47" s="4">
        <v>10</v>
      </c>
      <c r="AK47" s="4">
        <v>11</v>
      </c>
      <c r="AL47" s="4">
        <v>12</v>
      </c>
      <c r="AM47" s="4">
        <v>13</v>
      </c>
      <c r="AN47" s="4">
        <v>14</v>
      </c>
      <c r="AO47" s="4">
        <v>15</v>
      </c>
      <c r="AP47" s="4">
        <v>16</v>
      </c>
      <c r="AQ47" s="4">
        <v>17</v>
      </c>
      <c r="AR47" s="4">
        <v>18</v>
      </c>
      <c r="AS47" s="4">
        <v>19</v>
      </c>
      <c r="AT47" s="4">
        <v>20</v>
      </c>
      <c r="AV47" t="s">
        <v>30</v>
      </c>
    </row>
    <row r="48" spans="4:48" ht="16.3" thickBot="1" x14ac:dyDescent="0.5">
      <c r="D48" s="18"/>
      <c r="E48" s="16"/>
      <c r="F48" s="4">
        <v>3</v>
      </c>
      <c r="G48" s="4">
        <v>2</v>
      </c>
      <c r="H48" s="4">
        <v>1</v>
      </c>
      <c r="I48" s="4">
        <v>0</v>
      </c>
      <c r="J48" s="4">
        <v>0</v>
      </c>
      <c r="K48" s="4">
        <v>0</v>
      </c>
      <c r="L48" s="4">
        <v>0</v>
      </c>
      <c r="M48" s="4">
        <v>0</v>
      </c>
      <c r="N48" s="4">
        <v>0</v>
      </c>
      <c r="O48" s="4">
        <v>0</v>
      </c>
      <c r="P48" s="4">
        <v>0</v>
      </c>
      <c r="Q48" s="4">
        <v>0</v>
      </c>
      <c r="R48" s="4">
        <v>0</v>
      </c>
      <c r="S48" s="4">
        <v>0</v>
      </c>
      <c r="T48" s="4">
        <v>0</v>
      </c>
      <c r="U48" s="4">
        <v>0</v>
      </c>
      <c r="V48" s="4">
        <v>0</v>
      </c>
      <c r="W48" s="4">
        <v>0</v>
      </c>
      <c r="X48" s="4">
        <v>0</v>
      </c>
      <c r="Y48" s="4">
        <v>0</v>
      </c>
      <c r="AA48" s="4">
        <v>0</v>
      </c>
      <c r="AB48" s="4">
        <v>0</v>
      </c>
      <c r="AC48" s="4">
        <v>0</v>
      </c>
      <c r="AD48" s="4">
        <v>0</v>
      </c>
      <c r="AE48" s="4">
        <v>0</v>
      </c>
      <c r="AF48" s="4">
        <v>0</v>
      </c>
      <c r="AG48" s="4">
        <v>0</v>
      </c>
      <c r="AH48" s="4">
        <v>0</v>
      </c>
      <c r="AI48" s="4">
        <v>0</v>
      </c>
      <c r="AJ48" s="4">
        <v>0</v>
      </c>
      <c r="AK48" s="4">
        <v>0</v>
      </c>
      <c r="AL48" s="4">
        <v>0</v>
      </c>
      <c r="AM48" s="4">
        <v>0</v>
      </c>
      <c r="AN48" s="4">
        <v>0</v>
      </c>
      <c r="AO48" s="4">
        <v>0</v>
      </c>
      <c r="AP48" s="4">
        <v>0</v>
      </c>
      <c r="AQ48" s="4">
        <v>0</v>
      </c>
      <c r="AR48" s="4">
        <v>0</v>
      </c>
      <c r="AS48" s="4">
        <v>0</v>
      </c>
      <c r="AT48" s="4">
        <v>0</v>
      </c>
      <c r="AV48" t="s">
        <v>29</v>
      </c>
    </row>
    <row r="49" spans="4:25" x14ac:dyDescent="0.45">
      <c r="D49" s="17">
        <f>IF(SUM(F49:K50)&gt;0,D47+1,"")</f>
        <v>21</v>
      </c>
      <c r="E49" s="15" t="s">
        <v>13</v>
      </c>
      <c r="F49" s="4">
        <v>5</v>
      </c>
      <c r="G49" s="4">
        <v>6</v>
      </c>
      <c r="H49" s="4">
        <v>20</v>
      </c>
      <c r="I49" s="4">
        <v>10</v>
      </c>
      <c r="J49" s="4">
        <v>7</v>
      </c>
      <c r="K49" s="4">
        <v>19</v>
      </c>
      <c r="L49" s="4">
        <v>9</v>
      </c>
      <c r="M49" s="4">
        <v>14</v>
      </c>
      <c r="N49" s="4">
        <v>15</v>
      </c>
      <c r="O49" s="4">
        <v>12</v>
      </c>
      <c r="P49" s="4">
        <v>16</v>
      </c>
      <c r="Q49" s="4">
        <v>13</v>
      </c>
      <c r="R49" s="4">
        <v>11</v>
      </c>
      <c r="S49" s="4">
        <v>18</v>
      </c>
      <c r="T49" s="4">
        <v>17</v>
      </c>
      <c r="U49" s="4">
        <v>8</v>
      </c>
      <c r="V49" s="4">
        <v>0</v>
      </c>
      <c r="W49" s="4">
        <v>0</v>
      </c>
      <c r="X49" s="4">
        <v>0</v>
      </c>
      <c r="Y49" s="4">
        <v>0</v>
      </c>
    </row>
    <row r="50" spans="4:25" ht="16.3" thickBot="1" x14ac:dyDescent="0.5">
      <c r="D50" s="18"/>
      <c r="E50" s="16"/>
      <c r="F50" s="4">
        <v>4</v>
      </c>
      <c r="G50" s="4">
        <v>3</v>
      </c>
      <c r="H50" s="4">
        <v>2</v>
      </c>
      <c r="I50" s="4">
        <v>1</v>
      </c>
      <c r="J50" s="4">
        <v>0</v>
      </c>
      <c r="K50" s="4">
        <v>0</v>
      </c>
      <c r="L50" s="4">
        <v>0</v>
      </c>
      <c r="M50" s="4">
        <v>0</v>
      </c>
      <c r="N50" s="4">
        <v>0</v>
      </c>
      <c r="O50" s="4">
        <v>0</v>
      </c>
      <c r="P50" s="4">
        <v>0</v>
      </c>
      <c r="Q50" s="4">
        <v>0</v>
      </c>
      <c r="R50" s="4">
        <v>0</v>
      </c>
      <c r="S50" s="4">
        <v>0</v>
      </c>
      <c r="T50" s="4">
        <v>0</v>
      </c>
      <c r="U50" s="4">
        <v>0</v>
      </c>
      <c r="V50" s="4">
        <v>0</v>
      </c>
      <c r="W50" s="4">
        <v>0</v>
      </c>
      <c r="X50" s="4">
        <v>0</v>
      </c>
      <c r="Y50" s="4">
        <v>0</v>
      </c>
    </row>
    <row r="51" spans="4:25" x14ac:dyDescent="0.45">
      <c r="D51" s="17">
        <f>IF(SUM(F51:K52)&gt;0,D49+1,"")</f>
        <v>22</v>
      </c>
      <c r="E51" s="15" t="s">
        <v>13</v>
      </c>
      <c r="F51" s="4">
        <v>6</v>
      </c>
      <c r="G51" s="4">
        <v>20</v>
      </c>
      <c r="H51" s="4">
        <v>10</v>
      </c>
      <c r="I51" s="4">
        <v>7</v>
      </c>
      <c r="J51" s="4">
        <v>19</v>
      </c>
      <c r="K51" s="4">
        <v>9</v>
      </c>
      <c r="L51" s="4">
        <v>14</v>
      </c>
      <c r="M51" s="4">
        <v>15</v>
      </c>
      <c r="N51" s="4">
        <v>12</v>
      </c>
      <c r="O51" s="4">
        <v>16</v>
      </c>
      <c r="P51" s="4">
        <v>13</v>
      </c>
      <c r="Q51" s="4">
        <v>11</v>
      </c>
      <c r="R51" s="4">
        <v>18</v>
      </c>
      <c r="S51" s="4">
        <v>17</v>
      </c>
      <c r="T51" s="4">
        <v>8</v>
      </c>
      <c r="U51" s="4">
        <v>0</v>
      </c>
      <c r="V51" s="4">
        <v>0</v>
      </c>
      <c r="W51" s="4">
        <v>0</v>
      </c>
      <c r="X51" s="4">
        <v>0</v>
      </c>
      <c r="Y51" s="4">
        <v>0</v>
      </c>
    </row>
    <row r="52" spans="4:25" ht="16.3" thickBot="1" x14ac:dyDescent="0.5">
      <c r="D52" s="18"/>
      <c r="E52" s="16"/>
      <c r="F52" s="4">
        <v>5</v>
      </c>
      <c r="G52" s="4">
        <v>4</v>
      </c>
      <c r="H52" s="4">
        <v>3</v>
      </c>
      <c r="I52" s="4">
        <v>2</v>
      </c>
      <c r="J52" s="4">
        <v>1</v>
      </c>
      <c r="K52" s="4">
        <v>0</v>
      </c>
      <c r="L52" s="4">
        <v>0</v>
      </c>
      <c r="M52" s="4">
        <v>0</v>
      </c>
      <c r="N52" s="4">
        <v>0</v>
      </c>
      <c r="O52" s="4">
        <v>0</v>
      </c>
      <c r="P52" s="4">
        <v>0</v>
      </c>
      <c r="Q52" s="4">
        <v>0</v>
      </c>
      <c r="R52" s="4">
        <v>0</v>
      </c>
      <c r="S52" s="4">
        <v>0</v>
      </c>
      <c r="T52" s="4">
        <v>0</v>
      </c>
      <c r="U52" s="4">
        <v>0</v>
      </c>
      <c r="V52" s="4">
        <v>0</v>
      </c>
      <c r="W52" s="4">
        <v>0</v>
      </c>
      <c r="X52" s="4">
        <v>0</v>
      </c>
      <c r="Y52" s="4">
        <v>0</v>
      </c>
    </row>
    <row r="53" spans="4:25" x14ac:dyDescent="0.45">
      <c r="D53" s="17">
        <f>IF(SUM(F53:K54)&gt;0,D51+1,"")</f>
        <v>23</v>
      </c>
      <c r="E53" s="15" t="s">
        <v>13</v>
      </c>
      <c r="F53" s="4">
        <v>20</v>
      </c>
      <c r="G53" s="4">
        <v>10</v>
      </c>
      <c r="H53" s="4">
        <v>7</v>
      </c>
      <c r="I53" s="4">
        <v>19</v>
      </c>
      <c r="J53" s="4">
        <v>9</v>
      </c>
      <c r="K53" s="4">
        <v>14</v>
      </c>
      <c r="L53" s="4">
        <v>15</v>
      </c>
      <c r="M53" s="4">
        <v>12</v>
      </c>
      <c r="N53" s="4">
        <v>16</v>
      </c>
      <c r="O53" s="4">
        <v>13</v>
      </c>
      <c r="P53" s="4">
        <v>11</v>
      </c>
      <c r="Q53" s="4">
        <v>18</v>
      </c>
      <c r="R53" s="4">
        <v>17</v>
      </c>
      <c r="S53" s="4">
        <v>8</v>
      </c>
      <c r="T53" s="4">
        <v>0</v>
      </c>
      <c r="U53" s="4">
        <v>0</v>
      </c>
      <c r="V53" s="4">
        <v>0</v>
      </c>
      <c r="W53" s="4">
        <v>0</v>
      </c>
      <c r="X53" s="4">
        <v>0</v>
      </c>
      <c r="Y53" s="4">
        <v>0</v>
      </c>
    </row>
    <row r="54" spans="4:25" ht="16.3" thickBot="1" x14ac:dyDescent="0.5">
      <c r="D54" s="18"/>
      <c r="E54" s="16"/>
      <c r="F54" s="4">
        <v>6</v>
      </c>
      <c r="G54" s="4">
        <v>5</v>
      </c>
      <c r="H54" s="4">
        <v>4</v>
      </c>
      <c r="I54" s="4">
        <v>3</v>
      </c>
      <c r="J54" s="4">
        <v>2</v>
      </c>
      <c r="K54" s="4">
        <v>1</v>
      </c>
      <c r="L54" s="4">
        <v>0</v>
      </c>
      <c r="M54" s="4">
        <v>0</v>
      </c>
      <c r="N54" s="4">
        <v>0</v>
      </c>
      <c r="O54" s="4">
        <v>0</v>
      </c>
      <c r="P54" s="4">
        <v>0</v>
      </c>
      <c r="Q54" s="4">
        <v>0</v>
      </c>
      <c r="R54" s="4">
        <v>0</v>
      </c>
      <c r="S54" s="4">
        <v>0</v>
      </c>
      <c r="T54" s="4">
        <v>0</v>
      </c>
      <c r="U54" s="4">
        <v>0</v>
      </c>
      <c r="V54" s="4">
        <v>0</v>
      </c>
      <c r="W54" s="4">
        <v>0</v>
      </c>
      <c r="X54" s="4">
        <v>0</v>
      </c>
      <c r="Y54" s="4">
        <v>0</v>
      </c>
    </row>
    <row r="55" spans="4:25" x14ac:dyDescent="0.45">
      <c r="D55" s="17">
        <f>IF(SUM(F55:K56)&gt;0,D53+1,"")</f>
        <v>24</v>
      </c>
      <c r="E55" s="15" t="s">
        <v>12</v>
      </c>
      <c r="F55" s="4">
        <v>10</v>
      </c>
      <c r="G55" s="4">
        <v>7</v>
      </c>
      <c r="H55" s="4">
        <v>19</v>
      </c>
      <c r="I55" s="4">
        <v>9</v>
      </c>
      <c r="J55" s="4">
        <v>14</v>
      </c>
      <c r="K55" s="4">
        <v>15</v>
      </c>
      <c r="L55" s="4">
        <v>12</v>
      </c>
      <c r="M55" s="4">
        <v>16</v>
      </c>
      <c r="N55" s="4">
        <v>13</v>
      </c>
      <c r="O55" s="4">
        <v>11</v>
      </c>
      <c r="P55" s="4">
        <v>18</v>
      </c>
      <c r="Q55" s="4">
        <v>17</v>
      </c>
      <c r="R55" s="4">
        <v>8</v>
      </c>
      <c r="S55" s="4">
        <v>20</v>
      </c>
      <c r="T55" s="4">
        <v>0</v>
      </c>
      <c r="U55" s="4">
        <v>0</v>
      </c>
      <c r="V55" s="4">
        <v>0</v>
      </c>
      <c r="W55" s="4">
        <v>0</v>
      </c>
      <c r="X55" s="4">
        <v>0</v>
      </c>
      <c r="Y55" s="4">
        <v>0</v>
      </c>
    </row>
    <row r="56" spans="4:25" ht="16.3" thickBot="1" x14ac:dyDescent="0.5">
      <c r="D56" s="18"/>
      <c r="E56" s="16"/>
      <c r="F56" s="4">
        <v>6</v>
      </c>
      <c r="G56" s="4">
        <v>5</v>
      </c>
      <c r="H56" s="4">
        <v>4</v>
      </c>
      <c r="I56" s="4">
        <v>3</v>
      </c>
      <c r="J56" s="4">
        <v>2</v>
      </c>
      <c r="K56" s="4">
        <v>1</v>
      </c>
      <c r="L56" s="4">
        <v>0</v>
      </c>
      <c r="M56" s="4">
        <v>0</v>
      </c>
      <c r="N56" s="4">
        <v>0</v>
      </c>
      <c r="O56" s="4">
        <v>0</v>
      </c>
      <c r="P56" s="4">
        <v>0</v>
      </c>
      <c r="Q56" s="4">
        <v>0</v>
      </c>
      <c r="R56" s="4">
        <v>0</v>
      </c>
      <c r="S56" s="4">
        <v>0</v>
      </c>
      <c r="T56" s="4">
        <v>0</v>
      </c>
      <c r="U56" s="4">
        <v>0</v>
      </c>
      <c r="V56" s="4">
        <v>0</v>
      </c>
      <c r="W56" s="4">
        <v>0</v>
      </c>
      <c r="X56" s="4">
        <v>0</v>
      </c>
      <c r="Y56" s="4">
        <v>0</v>
      </c>
    </row>
    <row r="57" spans="4:25" x14ac:dyDescent="0.45">
      <c r="D57" s="17">
        <f>IF(SUM(F57:K58)&gt;0,D55+1,"")</f>
        <v>25</v>
      </c>
      <c r="E57" s="15" t="s">
        <v>13</v>
      </c>
      <c r="F57" s="4">
        <v>7</v>
      </c>
      <c r="G57" s="4">
        <v>19</v>
      </c>
      <c r="H57" s="4">
        <v>9</v>
      </c>
      <c r="I57" s="4">
        <v>14</v>
      </c>
      <c r="J57" s="4">
        <v>15</v>
      </c>
      <c r="K57" s="4">
        <v>12</v>
      </c>
      <c r="L57" s="4">
        <v>16</v>
      </c>
      <c r="M57" s="4">
        <v>13</v>
      </c>
      <c r="N57" s="4">
        <v>11</v>
      </c>
      <c r="O57" s="4">
        <v>18</v>
      </c>
      <c r="P57" s="4">
        <v>17</v>
      </c>
      <c r="Q57" s="4">
        <v>8</v>
      </c>
      <c r="R57" s="4">
        <v>20</v>
      </c>
      <c r="S57" s="4">
        <v>0</v>
      </c>
      <c r="T57" s="4">
        <v>0</v>
      </c>
      <c r="U57" s="4">
        <v>0</v>
      </c>
      <c r="V57" s="4">
        <v>0</v>
      </c>
      <c r="W57" s="4">
        <v>0</v>
      </c>
      <c r="X57" s="4">
        <v>0</v>
      </c>
      <c r="Y57" s="4">
        <v>0</v>
      </c>
    </row>
    <row r="58" spans="4:25" ht="16.3" thickBot="1" x14ac:dyDescent="0.5">
      <c r="D58" s="18"/>
      <c r="E58" s="16"/>
      <c r="F58" s="4">
        <v>10</v>
      </c>
      <c r="G58" s="4">
        <v>6</v>
      </c>
      <c r="H58" s="4">
        <v>5</v>
      </c>
      <c r="I58" s="4">
        <v>4</v>
      </c>
      <c r="J58" s="4">
        <v>3</v>
      </c>
      <c r="K58" s="4">
        <v>2</v>
      </c>
      <c r="L58" s="4">
        <v>1</v>
      </c>
      <c r="M58" s="4">
        <v>0</v>
      </c>
      <c r="N58" s="4">
        <v>0</v>
      </c>
      <c r="O58" s="4">
        <v>0</v>
      </c>
      <c r="P58" s="4">
        <v>0</v>
      </c>
      <c r="Q58" s="4">
        <v>0</v>
      </c>
      <c r="R58" s="4">
        <v>0</v>
      </c>
      <c r="S58" s="4">
        <v>0</v>
      </c>
      <c r="T58" s="4">
        <v>0</v>
      </c>
      <c r="U58" s="4">
        <v>0</v>
      </c>
      <c r="V58" s="4">
        <v>0</v>
      </c>
      <c r="W58" s="4">
        <v>0</v>
      </c>
      <c r="X58" s="4">
        <v>0</v>
      </c>
      <c r="Y58" s="4">
        <v>0</v>
      </c>
    </row>
    <row r="59" spans="4:25" x14ac:dyDescent="0.45">
      <c r="D59" s="17">
        <f>IF(SUM(F59:K60)&gt;0,D57+1,"")</f>
        <v>26</v>
      </c>
      <c r="E59" s="15" t="s">
        <v>13</v>
      </c>
      <c r="F59" s="4">
        <v>19</v>
      </c>
      <c r="G59" s="4">
        <v>9</v>
      </c>
      <c r="H59" s="4">
        <v>14</v>
      </c>
      <c r="I59" s="4">
        <v>15</v>
      </c>
      <c r="J59" s="4">
        <v>12</v>
      </c>
      <c r="K59" s="4">
        <v>16</v>
      </c>
      <c r="L59" s="4">
        <v>13</v>
      </c>
      <c r="M59" s="4">
        <v>11</v>
      </c>
      <c r="N59" s="4">
        <v>18</v>
      </c>
      <c r="O59" s="4">
        <v>17</v>
      </c>
      <c r="P59" s="4">
        <v>8</v>
      </c>
      <c r="Q59" s="4">
        <v>20</v>
      </c>
      <c r="R59" s="4">
        <v>0</v>
      </c>
      <c r="S59" s="4">
        <v>0</v>
      </c>
      <c r="T59" s="4">
        <v>0</v>
      </c>
      <c r="U59" s="4">
        <v>0</v>
      </c>
      <c r="V59" s="4">
        <v>0</v>
      </c>
      <c r="W59" s="4">
        <v>0</v>
      </c>
      <c r="X59" s="4">
        <v>0</v>
      </c>
      <c r="Y59" s="4">
        <v>0</v>
      </c>
    </row>
    <row r="60" spans="4:25" ht="16.3" thickBot="1" x14ac:dyDescent="0.5">
      <c r="D60" s="18"/>
      <c r="E60" s="16"/>
      <c r="F60" s="4">
        <v>7</v>
      </c>
      <c r="G60" s="4">
        <v>10</v>
      </c>
      <c r="H60" s="4">
        <v>6</v>
      </c>
      <c r="I60" s="4">
        <v>5</v>
      </c>
      <c r="J60" s="4">
        <v>4</v>
      </c>
      <c r="K60" s="4">
        <v>3</v>
      </c>
      <c r="L60" s="4">
        <v>2</v>
      </c>
      <c r="M60" s="4">
        <v>1</v>
      </c>
      <c r="N60" s="4">
        <v>0</v>
      </c>
      <c r="O60" s="4">
        <v>0</v>
      </c>
      <c r="P60" s="4">
        <v>0</v>
      </c>
      <c r="Q60" s="4">
        <v>0</v>
      </c>
      <c r="R60" s="4">
        <v>0</v>
      </c>
      <c r="S60" s="4">
        <v>0</v>
      </c>
      <c r="T60" s="4">
        <v>0</v>
      </c>
      <c r="U60" s="4">
        <v>0</v>
      </c>
      <c r="V60" s="4">
        <v>0</v>
      </c>
      <c r="W60" s="4">
        <v>0</v>
      </c>
      <c r="X60" s="4">
        <v>0</v>
      </c>
      <c r="Y60" s="4">
        <v>0</v>
      </c>
    </row>
    <row r="61" spans="4:25" x14ac:dyDescent="0.45">
      <c r="D61" s="17">
        <f>IF(SUM(F61:K62)&gt;0,D59+1,"")</f>
        <v>27</v>
      </c>
      <c r="E61" s="15" t="s">
        <v>12</v>
      </c>
      <c r="F61" s="4">
        <v>9</v>
      </c>
      <c r="G61" s="4">
        <v>14</v>
      </c>
      <c r="H61" s="4">
        <v>15</v>
      </c>
      <c r="I61" s="4">
        <v>12</v>
      </c>
      <c r="J61" s="4">
        <v>16</v>
      </c>
      <c r="K61" s="4">
        <v>13</v>
      </c>
      <c r="L61" s="4">
        <v>11</v>
      </c>
      <c r="M61" s="4">
        <v>18</v>
      </c>
      <c r="N61" s="4">
        <v>17</v>
      </c>
      <c r="O61" s="4">
        <v>8</v>
      </c>
      <c r="P61" s="4">
        <v>20</v>
      </c>
      <c r="Q61" s="4">
        <v>19</v>
      </c>
      <c r="R61" s="4">
        <v>0</v>
      </c>
      <c r="S61" s="4">
        <v>0</v>
      </c>
      <c r="T61" s="4">
        <v>0</v>
      </c>
      <c r="U61" s="4">
        <v>0</v>
      </c>
      <c r="V61" s="4">
        <v>0</v>
      </c>
      <c r="W61" s="4">
        <v>0</v>
      </c>
      <c r="X61" s="4">
        <v>0</v>
      </c>
      <c r="Y61" s="4">
        <v>0</v>
      </c>
    </row>
    <row r="62" spans="4:25" ht="16.3" thickBot="1" x14ac:dyDescent="0.5">
      <c r="D62" s="18"/>
      <c r="E62" s="16"/>
      <c r="F62" s="4">
        <v>7</v>
      </c>
      <c r="G62" s="4">
        <v>10</v>
      </c>
      <c r="H62" s="4">
        <v>6</v>
      </c>
      <c r="I62" s="4">
        <v>5</v>
      </c>
      <c r="J62" s="4">
        <v>4</v>
      </c>
      <c r="K62" s="4">
        <v>3</v>
      </c>
      <c r="L62" s="4">
        <v>2</v>
      </c>
      <c r="M62" s="4">
        <v>1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v>0</v>
      </c>
      <c r="W62" s="4">
        <v>0</v>
      </c>
      <c r="X62" s="4">
        <v>0</v>
      </c>
      <c r="Y62" s="4">
        <v>0</v>
      </c>
    </row>
    <row r="63" spans="4:25" x14ac:dyDescent="0.45">
      <c r="D63" s="17">
        <f>IF(SUM(F63:K64)&gt;0,D61+1,"")</f>
        <v>28</v>
      </c>
      <c r="E63" s="15" t="s">
        <v>13</v>
      </c>
      <c r="F63" s="4">
        <v>14</v>
      </c>
      <c r="G63" s="4">
        <v>15</v>
      </c>
      <c r="H63" s="4">
        <v>12</v>
      </c>
      <c r="I63" s="4">
        <v>16</v>
      </c>
      <c r="J63" s="4">
        <v>13</v>
      </c>
      <c r="K63" s="4">
        <v>11</v>
      </c>
      <c r="L63" s="4">
        <v>18</v>
      </c>
      <c r="M63" s="4">
        <v>17</v>
      </c>
      <c r="N63" s="4">
        <v>8</v>
      </c>
      <c r="O63" s="4">
        <v>20</v>
      </c>
      <c r="P63" s="4">
        <v>19</v>
      </c>
      <c r="Q63" s="4">
        <v>0</v>
      </c>
      <c r="R63" s="4">
        <v>0</v>
      </c>
      <c r="S63" s="4">
        <v>0</v>
      </c>
      <c r="T63" s="4">
        <v>0</v>
      </c>
      <c r="U63" s="4">
        <v>0</v>
      </c>
      <c r="V63" s="4">
        <v>0</v>
      </c>
      <c r="W63" s="4">
        <v>0</v>
      </c>
      <c r="X63" s="4">
        <v>0</v>
      </c>
      <c r="Y63" s="4">
        <v>0</v>
      </c>
    </row>
    <row r="64" spans="4:25" ht="16.3" thickBot="1" x14ac:dyDescent="0.5">
      <c r="D64" s="18"/>
      <c r="E64" s="16"/>
      <c r="F64" s="4">
        <v>9</v>
      </c>
      <c r="G64" s="4">
        <v>7</v>
      </c>
      <c r="H64" s="4">
        <v>10</v>
      </c>
      <c r="I64" s="4">
        <v>6</v>
      </c>
      <c r="J64" s="4">
        <v>5</v>
      </c>
      <c r="K64" s="4">
        <v>4</v>
      </c>
      <c r="L64" s="4">
        <v>3</v>
      </c>
      <c r="M64" s="4">
        <v>2</v>
      </c>
      <c r="N64" s="4">
        <v>1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v>0</v>
      </c>
      <c r="W64" s="4">
        <v>0</v>
      </c>
      <c r="X64" s="4">
        <v>0</v>
      </c>
      <c r="Y64" s="4">
        <v>0</v>
      </c>
    </row>
    <row r="65" spans="4:25" x14ac:dyDescent="0.45">
      <c r="D65" s="17">
        <f>IF(SUM(F65:K66)&gt;0,D63+1,"")</f>
        <v>29</v>
      </c>
      <c r="E65" s="15" t="s">
        <v>19</v>
      </c>
      <c r="F65" s="4">
        <v>19</v>
      </c>
      <c r="G65" s="4">
        <v>14</v>
      </c>
      <c r="H65" s="4">
        <v>15</v>
      </c>
      <c r="I65" s="4">
        <v>12</v>
      </c>
      <c r="J65" s="4">
        <v>16</v>
      </c>
      <c r="K65" s="4">
        <v>13</v>
      </c>
      <c r="L65" s="4">
        <v>11</v>
      </c>
      <c r="M65" s="4">
        <v>18</v>
      </c>
      <c r="N65" s="4">
        <v>17</v>
      </c>
      <c r="O65" s="4">
        <v>8</v>
      </c>
      <c r="P65" s="4">
        <v>20</v>
      </c>
      <c r="Q65" s="4">
        <v>0</v>
      </c>
      <c r="R65" s="4">
        <v>0</v>
      </c>
      <c r="S65" s="4">
        <v>0</v>
      </c>
      <c r="T65" s="4">
        <v>0</v>
      </c>
      <c r="U65" s="4">
        <v>0</v>
      </c>
      <c r="V65" s="4">
        <v>0</v>
      </c>
      <c r="W65" s="4">
        <v>0</v>
      </c>
      <c r="X65" s="4">
        <v>0</v>
      </c>
      <c r="Y65" s="4">
        <v>0</v>
      </c>
    </row>
    <row r="66" spans="4:25" ht="16.3" thickBot="1" x14ac:dyDescent="0.5">
      <c r="D66" s="18"/>
      <c r="E66" s="16"/>
      <c r="F66" s="4">
        <v>9</v>
      </c>
      <c r="G66" s="4">
        <v>7</v>
      </c>
      <c r="H66" s="4">
        <v>10</v>
      </c>
      <c r="I66" s="4">
        <v>6</v>
      </c>
      <c r="J66" s="4">
        <v>5</v>
      </c>
      <c r="K66" s="4">
        <v>4</v>
      </c>
      <c r="L66" s="4">
        <v>3</v>
      </c>
      <c r="M66" s="4">
        <v>2</v>
      </c>
      <c r="N66" s="4">
        <v>1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v>0</v>
      </c>
      <c r="W66" s="4">
        <v>0</v>
      </c>
      <c r="X66" s="4">
        <v>0</v>
      </c>
      <c r="Y66" s="4">
        <v>0</v>
      </c>
    </row>
    <row r="67" spans="4:25" x14ac:dyDescent="0.45">
      <c r="D67" s="17">
        <f>IF(SUM(F67:K68)&gt;0,D65+1,"")</f>
        <v>30</v>
      </c>
      <c r="E67" s="15" t="s">
        <v>19</v>
      </c>
      <c r="F67" s="4">
        <v>20</v>
      </c>
      <c r="G67" s="4">
        <v>19</v>
      </c>
      <c r="H67" s="4">
        <v>14</v>
      </c>
      <c r="I67" s="4">
        <v>15</v>
      </c>
      <c r="J67" s="4">
        <v>12</v>
      </c>
      <c r="K67" s="4">
        <v>16</v>
      </c>
      <c r="L67" s="4">
        <v>13</v>
      </c>
      <c r="M67" s="4">
        <v>11</v>
      </c>
      <c r="N67" s="4">
        <v>18</v>
      </c>
      <c r="O67" s="4">
        <v>17</v>
      </c>
      <c r="P67" s="4">
        <v>8</v>
      </c>
      <c r="Q67" s="4">
        <v>0</v>
      </c>
      <c r="R67" s="4">
        <v>0</v>
      </c>
      <c r="S67" s="4">
        <v>0</v>
      </c>
      <c r="T67" s="4">
        <v>0</v>
      </c>
      <c r="U67" s="4">
        <v>0</v>
      </c>
      <c r="V67" s="4">
        <v>0</v>
      </c>
      <c r="W67" s="4">
        <v>0</v>
      </c>
      <c r="X67" s="4">
        <v>0</v>
      </c>
      <c r="Y67" s="4">
        <v>0</v>
      </c>
    </row>
    <row r="68" spans="4:25" ht="16.3" thickBot="1" x14ac:dyDescent="0.5">
      <c r="D68" s="18"/>
      <c r="E68" s="16"/>
      <c r="F68" s="4">
        <v>9</v>
      </c>
      <c r="G68" s="4">
        <v>7</v>
      </c>
      <c r="H68" s="4">
        <v>10</v>
      </c>
      <c r="I68" s="4">
        <v>6</v>
      </c>
      <c r="J68" s="4">
        <v>5</v>
      </c>
      <c r="K68" s="4">
        <v>4</v>
      </c>
      <c r="L68" s="4">
        <v>3</v>
      </c>
      <c r="M68" s="4">
        <v>2</v>
      </c>
      <c r="N68" s="4">
        <v>1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v>0</v>
      </c>
      <c r="W68" s="4">
        <v>0</v>
      </c>
      <c r="X68" s="4">
        <v>0</v>
      </c>
      <c r="Y68" s="4">
        <v>0</v>
      </c>
    </row>
    <row r="69" spans="4:25" x14ac:dyDescent="0.45">
      <c r="D69" s="17">
        <f>IF(SUM(F69:K70)&gt;0,D67+1,"")</f>
        <v>31</v>
      </c>
      <c r="E69" s="15" t="s">
        <v>19</v>
      </c>
      <c r="F69" s="4">
        <v>8</v>
      </c>
      <c r="G69" s="4">
        <v>20</v>
      </c>
      <c r="H69" s="4">
        <v>19</v>
      </c>
      <c r="I69" s="4">
        <v>14</v>
      </c>
      <c r="J69" s="4">
        <v>15</v>
      </c>
      <c r="K69" s="4">
        <v>12</v>
      </c>
      <c r="L69" s="4">
        <v>16</v>
      </c>
      <c r="M69" s="4">
        <v>13</v>
      </c>
      <c r="N69" s="4">
        <v>11</v>
      </c>
      <c r="O69" s="4">
        <v>18</v>
      </c>
      <c r="P69" s="4">
        <v>17</v>
      </c>
      <c r="Q69" s="4">
        <v>0</v>
      </c>
      <c r="R69" s="4">
        <v>0</v>
      </c>
      <c r="S69" s="4">
        <v>0</v>
      </c>
      <c r="T69" s="4">
        <v>0</v>
      </c>
      <c r="U69" s="4">
        <v>0</v>
      </c>
      <c r="V69" s="4">
        <v>0</v>
      </c>
      <c r="W69" s="4">
        <v>0</v>
      </c>
      <c r="X69" s="4">
        <v>0</v>
      </c>
      <c r="Y69" s="4">
        <v>0</v>
      </c>
    </row>
    <row r="70" spans="4:25" ht="16.3" thickBot="1" x14ac:dyDescent="0.5">
      <c r="D70" s="18"/>
      <c r="E70" s="16"/>
      <c r="F70" s="4">
        <v>9</v>
      </c>
      <c r="G70" s="4">
        <v>7</v>
      </c>
      <c r="H70" s="4">
        <v>10</v>
      </c>
      <c r="I70" s="4">
        <v>6</v>
      </c>
      <c r="J70" s="4">
        <v>5</v>
      </c>
      <c r="K70" s="4">
        <v>4</v>
      </c>
      <c r="L70" s="4">
        <v>3</v>
      </c>
      <c r="M70" s="4">
        <v>2</v>
      </c>
      <c r="N70" s="4">
        <v>1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v>0</v>
      </c>
      <c r="W70" s="4">
        <v>0</v>
      </c>
      <c r="X70" s="4">
        <v>0</v>
      </c>
      <c r="Y70" s="4">
        <v>0</v>
      </c>
    </row>
    <row r="71" spans="4:25" x14ac:dyDescent="0.45">
      <c r="D71" s="17">
        <f>IF(SUM(F71:K72)&gt;0,D69+1,"")</f>
        <v>32</v>
      </c>
      <c r="E71" s="15" t="s">
        <v>13</v>
      </c>
      <c r="F71" s="4">
        <v>20</v>
      </c>
      <c r="G71" s="4">
        <v>19</v>
      </c>
      <c r="H71" s="4">
        <v>14</v>
      </c>
      <c r="I71" s="4">
        <v>15</v>
      </c>
      <c r="J71" s="4">
        <v>12</v>
      </c>
      <c r="K71" s="4">
        <v>16</v>
      </c>
      <c r="L71" s="4">
        <v>13</v>
      </c>
      <c r="M71" s="4">
        <v>11</v>
      </c>
      <c r="N71" s="4">
        <v>18</v>
      </c>
      <c r="O71" s="4">
        <v>17</v>
      </c>
      <c r="P71" s="4">
        <v>0</v>
      </c>
      <c r="Q71" s="4">
        <v>0</v>
      </c>
      <c r="R71" s="4">
        <v>0</v>
      </c>
      <c r="S71" s="4">
        <v>0</v>
      </c>
      <c r="T71" s="4">
        <v>0</v>
      </c>
      <c r="U71" s="4">
        <v>0</v>
      </c>
      <c r="V71" s="4">
        <v>0</v>
      </c>
      <c r="W71" s="4">
        <v>0</v>
      </c>
      <c r="X71" s="4">
        <v>0</v>
      </c>
      <c r="Y71" s="4">
        <v>0</v>
      </c>
    </row>
    <row r="72" spans="4:25" ht="16.3" thickBot="1" x14ac:dyDescent="0.5">
      <c r="D72" s="18"/>
      <c r="E72" s="16"/>
      <c r="F72" s="4">
        <v>8</v>
      </c>
      <c r="G72" s="4">
        <v>9</v>
      </c>
      <c r="H72" s="4">
        <v>7</v>
      </c>
      <c r="I72" s="4">
        <v>10</v>
      </c>
      <c r="J72" s="4">
        <v>6</v>
      </c>
      <c r="K72" s="4">
        <v>5</v>
      </c>
      <c r="L72" s="4">
        <v>4</v>
      </c>
      <c r="M72" s="4">
        <v>3</v>
      </c>
      <c r="N72" s="4">
        <v>2</v>
      </c>
      <c r="O72" s="4">
        <v>1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v>0</v>
      </c>
      <c r="W72" s="4">
        <v>0</v>
      </c>
      <c r="X72" s="4">
        <v>0</v>
      </c>
      <c r="Y72" s="4">
        <v>0</v>
      </c>
    </row>
    <row r="73" spans="4:25" x14ac:dyDescent="0.45">
      <c r="D73" s="17">
        <f>IF(SUM(F73:K74)&gt;0,D71+1,"")</f>
        <v>33</v>
      </c>
      <c r="E73" s="15" t="s">
        <v>14</v>
      </c>
      <c r="F73" s="4">
        <v>20</v>
      </c>
      <c r="G73" s="4">
        <v>19</v>
      </c>
      <c r="H73" s="4">
        <v>14</v>
      </c>
      <c r="I73" s="4">
        <v>15</v>
      </c>
      <c r="J73" s="4">
        <v>12</v>
      </c>
      <c r="K73" s="4">
        <v>16</v>
      </c>
      <c r="L73" s="4">
        <v>13</v>
      </c>
      <c r="M73" s="4">
        <v>11</v>
      </c>
      <c r="N73" s="4">
        <v>18</v>
      </c>
      <c r="O73" s="4">
        <v>17</v>
      </c>
      <c r="P73" s="4">
        <v>0</v>
      </c>
      <c r="Q73" s="4">
        <v>0</v>
      </c>
      <c r="R73" s="4">
        <v>0</v>
      </c>
      <c r="S73" s="4">
        <v>0</v>
      </c>
      <c r="T73" s="4">
        <v>0</v>
      </c>
      <c r="U73" s="4">
        <v>0</v>
      </c>
      <c r="V73" s="4">
        <v>0</v>
      </c>
      <c r="W73" s="4">
        <v>0</v>
      </c>
      <c r="X73" s="4">
        <v>0</v>
      </c>
      <c r="Y73" s="4">
        <v>0</v>
      </c>
    </row>
    <row r="74" spans="4:25" ht="16.3" thickBot="1" x14ac:dyDescent="0.5">
      <c r="D74" s="18"/>
      <c r="E74" s="16"/>
      <c r="F74" s="4">
        <v>9</v>
      </c>
      <c r="G74" s="4">
        <v>7</v>
      </c>
      <c r="H74" s="4">
        <v>10</v>
      </c>
      <c r="I74" s="4">
        <v>6</v>
      </c>
      <c r="J74" s="4">
        <v>5</v>
      </c>
      <c r="K74" s="4">
        <v>4</v>
      </c>
      <c r="L74" s="4">
        <v>3</v>
      </c>
      <c r="M74" s="4">
        <v>2</v>
      </c>
      <c r="N74" s="4">
        <v>1</v>
      </c>
      <c r="O74" s="4">
        <v>8</v>
      </c>
      <c r="P74" s="4">
        <v>0</v>
      </c>
      <c r="Q74" s="4">
        <v>0</v>
      </c>
      <c r="R74" s="4">
        <v>0</v>
      </c>
      <c r="S74" s="4">
        <v>0</v>
      </c>
      <c r="T74" s="4">
        <v>0</v>
      </c>
      <c r="U74" s="4">
        <v>0</v>
      </c>
      <c r="V74" s="4">
        <v>0</v>
      </c>
      <c r="W74" s="4">
        <v>0</v>
      </c>
      <c r="X74" s="4">
        <v>0</v>
      </c>
      <c r="Y74" s="4">
        <v>0</v>
      </c>
    </row>
    <row r="75" spans="4:25" x14ac:dyDescent="0.45">
      <c r="D75" s="17">
        <f>IF(SUM(F75:K76)&gt;0,D73+1,"")</f>
        <v>34</v>
      </c>
      <c r="E75" s="15" t="s">
        <v>14</v>
      </c>
      <c r="F75" s="4">
        <v>20</v>
      </c>
      <c r="G75" s="4">
        <v>19</v>
      </c>
      <c r="H75" s="4">
        <v>14</v>
      </c>
      <c r="I75" s="4">
        <v>15</v>
      </c>
      <c r="J75" s="4">
        <v>12</v>
      </c>
      <c r="K75" s="4">
        <v>16</v>
      </c>
      <c r="L75" s="4">
        <v>13</v>
      </c>
      <c r="M75" s="4">
        <v>11</v>
      </c>
      <c r="N75" s="4">
        <v>18</v>
      </c>
      <c r="O75" s="4">
        <v>17</v>
      </c>
      <c r="P75" s="4">
        <v>0</v>
      </c>
      <c r="Q75" s="4">
        <v>0</v>
      </c>
      <c r="R75" s="4">
        <v>0</v>
      </c>
      <c r="S75" s="4">
        <v>0</v>
      </c>
      <c r="T75" s="4">
        <v>0</v>
      </c>
      <c r="U75" s="4">
        <v>0</v>
      </c>
      <c r="V75" s="4">
        <v>0</v>
      </c>
      <c r="W75" s="4">
        <v>0</v>
      </c>
      <c r="X75" s="4">
        <v>0</v>
      </c>
      <c r="Y75" s="4">
        <v>0</v>
      </c>
    </row>
    <row r="76" spans="4:25" ht="16.3" thickBot="1" x14ac:dyDescent="0.5">
      <c r="D76" s="18"/>
      <c r="E76" s="16"/>
      <c r="F76" s="4">
        <v>7</v>
      </c>
      <c r="G76" s="4">
        <v>10</v>
      </c>
      <c r="H76" s="4">
        <v>6</v>
      </c>
      <c r="I76" s="4">
        <v>5</v>
      </c>
      <c r="J76" s="4">
        <v>4</v>
      </c>
      <c r="K76" s="4">
        <v>3</v>
      </c>
      <c r="L76" s="4">
        <v>2</v>
      </c>
      <c r="M76" s="4">
        <v>1</v>
      </c>
      <c r="N76" s="4">
        <v>8</v>
      </c>
      <c r="O76" s="4">
        <v>9</v>
      </c>
      <c r="P76" s="4">
        <v>0</v>
      </c>
      <c r="Q76" s="4">
        <v>0</v>
      </c>
      <c r="R76" s="4">
        <v>0</v>
      </c>
      <c r="S76" s="4">
        <v>0</v>
      </c>
      <c r="T76" s="4">
        <v>0</v>
      </c>
      <c r="U76" s="4">
        <v>0</v>
      </c>
      <c r="V76" s="4">
        <v>0</v>
      </c>
      <c r="W76" s="4">
        <v>0</v>
      </c>
      <c r="X76" s="4">
        <v>0</v>
      </c>
      <c r="Y76" s="4">
        <v>0</v>
      </c>
    </row>
    <row r="77" spans="4:25" x14ac:dyDescent="0.45">
      <c r="D77" s="17">
        <f>IF(SUM(F77:K78)&gt;0,D75+1,"")</f>
        <v>35</v>
      </c>
      <c r="E77" s="15" t="s">
        <v>14</v>
      </c>
      <c r="F77" s="4">
        <v>20</v>
      </c>
      <c r="G77" s="4">
        <v>19</v>
      </c>
      <c r="H77" s="4">
        <v>14</v>
      </c>
      <c r="I77" s="4">
        <v>15</v>
      </c>
      <c r="J77" s="4">
        <v>12</v>
      </c>
      <c r="K77" s="4">
        <v>16</v>
      </c>
      <c r="L77" s="4">
        <v>13</v>
      </c>
      <c r="M77" s="4">
        <v>11</v>
      </c>
      <c r="N77" s="4">
        <v>18</v>
      </c>
      <c r="O77" s="4">
        <v>17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v>0</v>
      </c>
      <c r="W77" s="4">
        <v>0</v>
      </c>
      <c r="X77" s="4">
        <v>0</v>
      </c>
      <c r="Y77" s="4">
        <v>0</v>
      </c>
    </row>
    <row r="78" spans="4:25" ht="16.3" thickBot="1" x14ac:dyDescent="0.5">
      <c r="D78" s="18"/>
      <c r="E78" s="16"/>
      <c r="F78" s="4">
        <v>10</v>
      </c>
      <c r="G78" s="4">
        <v>6</v>
      </c>
      <c r="H78" s="4">
        <v>5</v>
      </c>
      <c r="I78" s="4">
        <v>4</v>
      </c>
      <c r="J78" s="4">
        <v>3</v>
      </c>
      <c r="K78" s="4">
        <v>2</v>
      </c>
      <c r="L78" s="4">
        <v>1</v>
      </c>
      <c r="M78" s="4">
        <v>8</v>
      </c>
      <c r="N78" s="4">
        <v>9</v>
      </c>
      <c r="O78" s="4">
        <v>7</v>
      </c>
      <c r="P78" s="4">
        <v>0</v>
      </c>
      <c r="Q78" s="4">
        <v>0</v>
      </c>
      <c r="R78" s="4">
        <v>0</v>
      </c>
      <c r="S78" s="4">
        <v>0</v>
      </c>
      <c r="T78" s="4">
        <v>0</v>
      </c>
      <c r="U78" s="4">
        <v>0</v>
      </c>
      <c r="V78" s="4">
        <v>0</v>
      </c>
      <c r="W78" s="4">
        <v>0</v>
      </c>
      <c r="X78" s="4">
        <v>0</v>
      </c>
      <c r="Y78" s="4">
        <v>0</v>
      </c>
    </row>
    <row r="79" spans="4:25" x14ac:dyDescent="0.45">
      <c r="D79" s="17">
        <f>IF(SUM(F79:K80)&gt;0,D77+1,"")</f>
        <v>36</v>
      </c>
      <c r="E79" s="15" t="s">
        <v>15</v>
      </c>
      <c r="F79" s="4">
        <v>10</v>
      </c>
      <c r="G79" s="4">
        <v>20</v>
      </c>
      <c r="H79" s="4">
        <v>19</v>
      </c>
      <c r="I79" s="4">
        <v>14</v>
      </c>
      <c r="J79" s="4">
        <v>15</v>
      </c>
      <c r="K79" s="4">
        <v>12</v>
      </c>
      <c r="L79" s="4">
        <v>16</v>
      </c>
      <c r="M79" s="4">
        <v>13</v>
      </c>
      <c r="N79" s="4">
        <v>11</v>
      </c>
      <c r="O79" s="4">
        <v>18</v>
      </c>
      <c r="P79" s="4">
        <v>17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v>0</v>
      </c>
      <c r="W79" s="4">
        <v>0</v>
      </c>
      <c r="X79" s="4">
        <v>0</v>
      </c>
      <c r="Y79" s="4">
        <v>0</v>
      </c>
    </row>
    <row r="80" spans="4:25" ht="16.3" thickBot="1" x14ac:dyDescent="0.5">
      <c r="D80" s="18"/>
      <c r="E80" s="16"/>
      <c r="F80" s="4">
        <v>6</v>
      </c>
      <c r="G80" s="4">
        <v>5</v>
      </c>
      <c r="H80" s="4">
        <v>4</v>
      </c>
      <c r="I80" s="4">
        <v>3</v>
      </c>
      <c r="J80" s="4">
        <v>2</v>
      </c>
      <c r="K80" s="4">
        <v>1</v>
      </c>
      <c r="L80" s="4">
        <v>8</v>
      </c>
      <c r="M80" s="4">
        <v>9</v>
      </c>
      <c r="N80" s="4">
        <v>7</v>
      </c>
      <c r="O80" s="4">
        <v>0</v>
      </c>
      <c r="P80" s="4">
        <v>0</v>
      </c>
      <c r="Q80" s="4">
        <v>0</v>
      </c>
      <c r="R80" s="4">
        <v>0</v>
      </c>
      <c r="S80" s="4">
        <v>0</v>
      </c>
      <c r="T80" s="4">
        <v>0</v>
      </c>
      <c r="U80" s="4">
        <v>0</v>
      </c>
      <c r="V80" s="4">
        <v>0</v>
      </c>
      <c r="W80" s="4">
        <v>0</v>
      </c>
      <c r="X80" s="4">
        <v>0</v>
      </c>
      <c r="Y80" s="4">
        <v>0</v>
      </c>
    </row>
    <row r="81" spans="4:25" x14ac:dyDescent="0.45">
      <c r="D81" s="17">
        <f>IF(SUM(F81:K82)&gt;0,D79+1,"")</f>
        <v>37</v>
      </c>
      <c r="E81" s="15" t="s">
        <v>16</v>
      </c>
      <c r="F81" s="4">
        <v>10</v>
      </c>
      <c r="G81" s="4">
        <v>20</v>
      </c>
      <c r="H81" s="4">
        <v>19</v>
      </c>
      <c r="I81" s="4">
        <v>14</v>
      </c>
      <c r="J81" s="4">
        <v>15</v>
      </c>
      <c r="K81" s="4">
        <v>12</v>
      </c>
      <c r="L81" s="4">
        <v>16</v>
      </c>
      <c r="M81" s="4">
        <v>13</v>
      </c>
      <c r="N81" s="4">
        <v>11</v>
      </c>
      <c r="O81" s="4">
        <v>18</v>
      </c>
      <c r="P81" s="4">
        <v>17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v>0</v>
      </c>
      <c r="W81" s="4">
        <v>0</v>
      </c>
      <c r="X81" s="4">
        <v>0</v>
      </c>
      <c r="Y81" s="4">
        <v>0</v>
      </c>
    </row>
    <row r="82" spans="4:25" ht="16.3" thickBot="1" x14ac:dyDescent="0.5">
      <c r="D82" s="18"/>
      <c r="E82" s="16"/>
      <c r="F82" s="4">
        <v>7</v>
      </c>
      <c r="G82" s="4">
        <v>6</v>
      </c>
      <c r="H82" s="4">
        <v>5</v>
      </c>
      <c r="I82" s="4">
        <v>4</v>
      </c>
      <c r="J82" s="4">
        <v>3</v>
      </c>
      <c r="K82" s="4">
        <v>2</v>
      </c>
      <c r="L82" s="4">
        <v>1</v>
      </c>
      <c r="M82" s="4">
        <v>8</v>
      </c>
      <c r="N82" s="4">
        <v>9</v>
      </c>
      <c r="O82" s="4">
        <v>0</v>
      </c>
      <c r="P82" s="4">
        <v>0</v>
      </c>
      <c r="Q82" s="4">
        <v>0</v>
      </c>
      <c r="R82" s="4">
        <v>0</v>
      </c>
      <c r="S82" s="4">
        <v>0</v>
      </c>
      <c r="T82" s="4">
        <v>0</v>
      </c>
      <c r="U82" s="4">
        <v>0</v>
      </c>
      <c r="V82" s="4">
        <v>0</v>
      </c>
      <c r="W82" s="4">
        <v>0</v>
      </c>
      <c r="X82" s="4">
        <v>0</v>
      </c>
      <c r="Y82" s="4">
        <v>0</v>
      </c>
    </row>
    <row r="83" spans="4:25" x14ac:dyDescent="0.45">
      <c r="D83" s="17">
        <f>IF(SUM(F83:K84)&gt;0,D81+1,"")</f>
        <v>38</v>
      </c>
      <c r="E83" s="15" t="s">
        <v>16</v>
      </c>
      <c r="F83" s="4">
        <v>10</v>
      </c>
      <c r="G83" s="4">
        <v>20</v>
      </c>
      <c r="H83" s="4">
        <v>19</v>
      </c>
      <c r="I83" s="4">
        <v>14</v>
      </c>
      <c r="J83" s="4">
        <v>15</v>
      </c>
      <c r="K83" s="4">
        <v>12</v>
      </c>
      <c r="L83" s="4">
        <v>16</v>
      </c>
      <c r="M83" s="4">
        <v>13</v>
      </c>
      <c r="N83" s="4">
        <v>11</v>
      </c>
      <c r="O83" s="4">
        <v>18</v>
      </c>
      <c r="P83" s="4">
        <v>17</v>
      </c>
      <c r="Q83" s="4">
        <v>0</v>
      </c>
      <c r="R83" s="4">
        <v>0</v>
      </c>
      <c r="S83" s="4">
        <v>0</v>
      </c>
      <c r="T83" s="4">
        <v>0</v>
      </c>
      <c r="U83" s="4">
        <v>0</v>
      </c>
      <c r="V83" s="4">
        <v>0</v>
      </c>
      <c r="W83" s="4">
        <v>0</v>
      </c>
      <c r="X83" s="4">
        <v>0</v>
      </c>
      <c r="Y83" s="4">
        <v>0</v>
      </c>
    </row>
    <row r="84" spans="4:25" ht="16.3" thickBot="1" x14ac:dyDescent="0.5">
      <c r="D84" s="18"/>
      <c r="E84" s="16"/>
      <c r="F84" s="4">
        <v>9</v>
      </c>
      <c r="G84" s="4">
        <v>7</v>
      </c>
      <c r="H84" s="4">
        <v>6</v>
      </c>
      <c r="I84" s="4">
        <v>5</v>
      </c>
      <c r="J84" s="4">
        <v>4</v>
      </c>
      <c r="K84" s="4">
        <v>3</v>
      </c>
      <c r="L84" s="4">
        <v>2</v>
      </c>
      <c r="M84" s="4">
        <v>1</v>
      </c>
      <c r="N84" s="4">
        <v>8</v>
      </c>
      <c r="O84" s="4">
        <v>0</v>
      </c>
      <c r="P84" s="4">
        <v>0</v>
      </c>
      <c r="Q84" s="4">
        <v>0</v>
      </c>
      <c r="R84" s="4">
        <v>0</v>
      </c>
      <c r="S84" s="4">
        <v>0</v>
      </c>
      <c r="T84" s="4">
        <v>0</v>
      </c>
      <c r="U84" s="4">
        <v>0</v>
      </c>
      <c r="V84" s="4">
        <v>0</v>
      </c>
      <c r="W84" s="4">
        <v>0</v>
      </c>
      <c r="X84" s="4">
        <v>0</v>
      </c>
      <c r="Y84" s="4">
        <v>0</v>
      </c>
    </row>
    <row r="85" spans="4:25" x14ac:dyDescent="0.45">
      <c r="D85" s="17">
        <f>IF(SUM(F85:K86)&gt;0,D83+1,"")</f>
        <v>39</v>
      </c>
      <c r="E85" s="15" t="s">
        <v>15</v>
      </c>
      <c r="F85" s="4">
        <v>9</v>
      </c>
      <c r="G85" s="4">
        <v>10</v>
      </c>
      <c r="H85" s="4">
        <v>20</v>
      </c>
      <c r="I85" s="4">
        <v>19</v>
      </c>
      <c r="J85" s="4">
        <v>14</v>
      </c>
      <c r="K85" s="4">
        <v>15</v>
      </c>
      <c r="L85" s="4">
        <v>12</v>
      </c>
      <c r="M85" s="4">
        <v>16</v>
      </c>
      <c r="N85" s="4">
        <v>13</v>
      </c>
      <c r="O85" s="4">
        <v>11</v>
      </c>
      <c r="P85" s="4">
        <v>18</v>
      </c>
      <c r="Q85" s="4">
        <v>17</v>
      </c>
      <c r="R85" s="4">
        <v>0</v>
      </c>
      <c r="S85" s="4">
        <v>0</v>
      </c>
      <c r="T85" s="4">
        <v>0</v>
      </c>
      <c r="U85" s="4">
        <v>0</v>
      </c>
      <c r="V85" s="4">
        <v>0</v>
      </c>
      <c r="W85" s="4">
        <v>0</v>
      </c>
      <c r="X85" s="4">
        <v>0</v>
      </c>
      <c r="Y85" s="4">
        <v>0</v>
      </c>
    </row>
    <row r="86" spans="4:25" ht="16.3" thickBot="1" x14ac:dyDescent="0.5">
      <c r="D86" s="18"/>
      <c r="E86" s="16"/>
      <c r="F86" s="4">
        <v>7</v>
      </c>
      <c r="G86" s="4">
        <v>6</v>
      </c>
      <c r="H86" s="4">
        <v>5</v>
      </c>
      <c r="I86" s="4">
        <v>4</v>
      </c>
      <c r="J86" s="4">
        <v>3</v>
      </c>
      <c r="K86" s="4">
        <v>2</v>
      </c>
      <c r="L86" s="4">
        <v>1</v>
      </c>
      <c r="M86" s="4">
        <v>8</v>
      </c>
      <c r="N86" s="4">
        <v>0</v>
      </c>
      <c r="O86" s="4">
        <v>0</v>
      </c>
      <c r="P86" s="4">
        <v>0</v>
      </c>
      <c r="Q86" s="4">
        <v>0</v>
      </c>
      <c r="R86" s="4">
        <v>0</v>
      </c>
      <c r="S86" s="4">
        <v>0</v>
      </c>
      <c r="T86" s="4">
        <v>0</v>
      </c>
      <c r="U86" s="4">
        <v>0</v>
      </c>
      <c r="V86" s="4">
        <v>0</v>
      </c>
      <c r="W86" s="4">
        <v>0</v>
      </c>
      <c r="X86" s="4">
        <v>0</v>
      </c>
      <c r="Y86" s="4">
        <v>0</v>
      </c>
    </row>
    <row r="87" spans="4:25" x14ac:dyDescent="0.45">
      <c r="D87" s="17">
        <f>IF(SUM(F87:K88)&gt;0,D85+1,"")</f>
        <v>40</v>
      </c>
      <c r="E87" s="15" t="s">
        <v>16</v>
      </c>
      <c r="F87" s="4">
        <v>9</v>
      </c>
      <c r="G87" s="4">
        <v>10</v>
      </c>
      <c r="H87" s="4">
        <v>20</v>
      </c>
      <c r="I87" s="4">
        <v>19</v>
      </c>
      <c r="J87" s="4">
        <v>14</v>
      </c>
      <c r="K87" s="4">
        <v>15</v>
      </c>
      <c r="L87" s="4">
        <v>12</v>
      </c>
      <c r="M87" s="4">
        <v>16</v>
      </c>
      <c r="N87" s="4">
        <v>13</v>
      </c>
      <c r="O87" s="4">
        <v>11</v>
      </c>
      <c r="P87" s="4">
        <v>18</v>
      </c>
      <c r="Q87" s="4">
        <v>17</v>
      </c>
      <c r="R87" s="4">
        <v>0</v>
      </c>
      <c r="S87" s="4">
        <v>0</v>
      </c>
      <c r="T87" s="4">
        <v>0</v>
      </c>
      <c r="U87" s="4">
        <v>0</v>
      </c>
      <c r="V87" s="4">
        <v>0</v>
      </c>
      <c r="W87" s="4">
        <v>0</v>
      </c>
      <c r="X87" s="4">
        <v>0</v>
      </c>
      <c r="Y87" s="4">
        <v>0</v>
      </c>
    </row>
    <row r="88" spans="4:25" ht="16.3" thickBot="1" x14ac:dyDescent="0.5">
      <c r="D88" s="18"/>
      <c r="E88" s="16"/>
      <c r="F88" s="4">
        <v>8</v>
      </c>
      <c r="G88" s="4">
        <v>7</v>
      </c>
      <c r="H88" s="4">
        <v>6</v>
      </c>
      <c r="I88" s="4">
        <v>5</v>
      </c>
      <c r="J88" s="4">
        <v>4</v>
      </c>
      <c r="K88" s="4">
        <v>3</v>
      </c>
      <c r="L88" s="4">
        <v>2</v>
      </c>
      <c r="M88" s="4">
        <v>1</v>
      </c>
      <c r="N88" s="4">
        <v>0</v>
      </c>
      <c r="O88" s="4">
        <v>0</v>
      </c>
      <c r="P88" s="4">
        <v>0</v>
      </c>
      <c r="Q88" s="4">
        <v>0</v>
      </c>
      <c r="R88" s="4">
        <v>0</v>
      </c>
      <c r="S88" s="4">
        <v>0</v>
      </c>
      <c r="T88" s="4">
        <v>0</v>
      </c>
      <c r="U88" s="4">
        <v>0</v>
      </c>
      <c r="V88" s="4">
        <v>0</v>
      </c>
      <c r="W88" s="4">
        <v>0</v>
      </c>
      <c r="X88" s="4">
        <v>0</v>
      </c>
      <c r="Y88" s="4">
        <v>0</v>
      </c>
    </row>
    <row r="89" spans="4:25" x14ac:dyDescent="0.45">
      <c r="D89" s="17">
        <f>IF(SUM(F89:K90)&gt;0,D87+1,"")</f>
        <v>41</v>
      </c>
      <c r="E89" s="15" t="s">
        <v>13</v>
      </c>
      <c r="F89" s="4">
        <v>10</v>
      </c>
      <c r="G89" s="4">
        <v>20</v>
      </c>
      <c r="H89" s="4">
        <v>19</v>
      </c>
      <c r="I89" s="4">
        <v>14</v>
      </c>
      <c r="J89" s="4">
        <v>15</v>
      </c>
      <c r="K89" s="4">
        <v>12</v>
      </c>
      <c r="L89" s="4">
        <v>16</v>
      </c>
      <c r="M89" s="4">
        <v>13</v>
      </c>
      <c r="N89" s="4">
        <v>11</v>
      </c>
      <c r="O89" s="4">
        <v>18</v>
      </c>
      <c r="P89" s="4">
        <v>17</v>
      </c>
      <c r="Q89" s="4">
        <v>0</v>
      </c>
      <c r="R89" s="4">
        <v>0</v>
      </c>
      <c r="S89" s="4">
        <v>0</v>
      </c>
      <c r="T89" s="4">
        <v>0</v>
      </c>
      <c r="U89" s="4">
        <v>0</v>
      </c>
      <c r="V89" s="4">
        <v>0</v>
      </c>
      <c r="W89" s="4">
        <v>0</v>
      </c>
      <c r="X89" s="4">
        <v>0</v>
      </c>
      <c r="Y89" s="4">
        <v>0</v>
      </c>
    </row>
    <row r="90" spans="4:25" ht="16.3" thickBot="1" x14ac:dyDescent="0.5">
      <c r="D90" s="18"/>
      <c r="E90" s="16"/>
      <c r="F90" s="4">
        <v>9</v>
      </c>
      <c r="G90" s="4">
        <v>8</v>
      </c>
      <c r="H90" s="4">
        <v>7</v>
      </c>
      <c r="I90" s="4">
        <v>6</v>
      </c>
      <c r="J90" s="4">
        <v>5</v>
      </c>
      <c r="K90" s="4">
        <v>4</v>
      </c>
      <c r="L90" s="4">
        <v>3</v>
      </c>
      <c r="M90" s="4">
        <v>2</v>
      </c>
      <c r="N90" s="4">
        <v>1</v>
      </c>
      <c r="O90" s="4">
        <v>0</v>
      </c>
      <c r="P90" s="4">
        <v>0</v>
      </c>
      <c r="Q90" s="4">
        <v>0</v>
      </c>
      <c r="R90" s="4">
        <v>0</v>
      </c>
      <c r="S90" s="4">
        <v>0</v>
      </c>
      <c r="T90" s="4">
        <v>0</v>
      </c>
      <c r="U90" s="4">
        <v>0</v>
      </c>
      <c r="V90" s="4">
        <v>0</v>
      </c>
      <c r="W90" s="4">
        <v>0</v>
      </c>
      <c r="X90" s="4">
        <v>0</v>
      </c>
      <c r="Y90" s="4">
        <v>0</v>
      </c>
    </row>
    <row r="91" spans="4:25" x14ac:dyDescent="0.45">
      <c r="D91" s="17">
        <f>IF(SUM(F91:K92)&gt;0,D89+1,"")</f>
        <v>42</v>
      </c>
      <c r="E91" s="15" t="s">
        <v>13</v>
      </c>
      <c r="F91" s="4">
        <v>20</v>
      </c>
      <c r="G91" s="4">
        <v>19</v>
      </c>
      <c r="H91" s="4">
        <v>14</v>
      </c>
      <c r="I91" s="4">
        <v>15</v>
      </c>
      <c r="J91" s="4">
        <v>12</v>
      </c>
      <c r="K91" s="4">
        <v>16</v>
      </c>
      <c r="L91" s="4">
        <v>13</v>
      </c>
      <c r="M91" s="4">
        <v>11</v>
      </c>
      <c r="N91" s="4">
        <v>18</v>
      </c>
      <c r="O91" s="4">
        <v>17</v>
      </c>
      <c r="P91" s="4">
        <v>0</v>
      </c>
      <c r="Q91" s="4">
        <v>0</v>
      </c>
      <c r="R91" s="4">
        <v>0</v>
      </c>
      <c r="S91" s="4">
        <v>0</v>
      </c>
      <c r="T91" s="4">
        <v>0</v>
      </c>
      <c r="U91" s="4">
        <v>0</v>
      </c>
      <c r="V91" s="4">
        <v>0</v>
      </c>
      <c r="W91" s="4">
        <v>0</v>
      </c>
      <c r="X91" s="4">
        <v>0</v>
      </c>
      <c r="Y91" s="4">
        <v>0</v>
      </c>
    </row>
    <row r="92" spans="4:25" ht="16.3" thickBot="1" x14ac:dyDescent="0.5">
      <c r="D92" s="18"/>
      <c r="E92" s="16"/>
      <c r="F92" s="4">
        <v>10</v>
      </c>
      <c r="G92" s="4">
        <v>9</v>
      </c>
      <c r="H92" s="4">
        <v>8</v>
      </c>
      <c r="I92" s="4">
        <v>7</v>
      </c>
      <c r="J92" s="4">
        <v>6</v>
      </c>
      <c r="K92" s="4">
        <v>5</v>
      </c>
      <c r="L92" s="4">
        <v>4</v>
      </c>
      <c r="M92" s="4">
        <v>3</v>
      </c>
      <c r="N92" s="4">
        <v>2</v>
      </c>
      <c r="O92" s="4">
        <v>1</v>
      </c>
      <c r="P92" s="4">
        <v>0</v>
      </c>
      <c r="Q92" s="4">
        <v>0</v>
      </c>
      <c r="R92" s="4">
        <v>0</v>
      </c>
      <c r="S92" s="4">
        <v>0</v>
      </c>
      <c r="T92" s="4">
        <v>0</v>
      </c>
      <c r="U92" s="4">
        <v>0</v>
      </c>
      <c r="V92" s="4">
        <v>0</v>
      </c>
      <c r="W92" s="4">
        <v>0</v>
      </c>
      <c r="X92" s="4">
        <v>0</v>
      </c>
      <c r="Y92" s="4">
        <v>0</v>
      </c>
    </row>
    <row r="93" spans="4:25" x14ac:dyDescent="0.45">
      <c r="D93" s="17">
        <f>IF(SUM(F93:K94)&gt;0,D91+1,"")</f>
        <v>43</v>
      </c>
      <c r="E93" s="15" t="s">
        <v>12</v>
      </c>
      <c r="F93" s="4">
        <v>19</v>
      </c>
      <c r="G93" s="4">
        <v>14</v>
      </c>
      <c r="H93" s="4">
        <v>15</v>
      </c>
      <c r="I93" s="4">
        <v>12</v>
      </c>
      <c r="J93" s="4">
        <v>16</v>
      </c>
      <c r="K93" s="4">
        <v>13</v>
      </c>
      <c r="L93" s="4">
        <v>11</v>
      </c>
      <c r="M93" s="4">
        <v>18</v>
      </c>
      <c r="N93" s="4">
        <v>17</v>
      </c>
      <c r="O93" s="4">
        <v>20</v>
      </c>
      <c r="P93" s="4">
        <v>0</v>
      </c>
      <c r="Q93" s="4">
        <v>0</v>
      </c>
      <c r="R93" s="4">
        <v>0</v>
      </c>
      <c r="S93" s="4">
        <v>0</v>
      </c>
      <c r="T93" s="4">
        <v>0</v>
      </c>
      <c r="U93" s="4">
        <v>0</v>
      </c>
      <c r="V93" s="4">
        <v>0</v>
      </c>
      <c r="W93" s="4">
        <v>0</v>
      </c>
      <c r="X93" s="4">
        <v>0</v>
      </c>
      <c r="Y93" s="4">
        <v>0</v>
      </c>
    </row>
    <row r="94" spans="4:25" ht="16.3" thickBot="1" x14ac:dyDescent="0.5">
      <c r="D94" s="18"/>
      <c r="E94" s="16"/>
      <c r="F94" s="4">
        <v>10</v>
      </c>
      <c r="G94" s="4">
        <v>9</v>
      </c>
      <c r="H94" s="4">
        <v>8</v>
      </c>
      <c r="I94" s="4">
        <v>7</v>
      </c>
      <c r="J94" s="4">
        <v>6</v>
      </c>
      <c r="K94" s="4">
        <v>5</v>
      </c>
      <c r="L94" s="4">
        <v>4</v>
      </c>
      <c r="M94" s="4">
        <v>3</v>
      </c>
      <c r="N94" s="4">
        <v>2</v>
      </c>
      <c r="O94" s="4">
        <v>1</v>
      </c>
      <c r="P94" s="4">
        <v>0</v>
      </c>
      <c r="Q94" s="4">
        <v>0</v>
      </c>
      <c r="R94" s="4">
        <v>0</v>
      </c>
      <c r="S94" s="4">
        <v>0</v>
      </c>
      <c r="T94" s="4">
        <v>0</v>
      </c>
      <c r="U94" s="4">
        <v>0</v>
      </c>
      <c r="V94" s="4">
        <v>0</v>
      </c>
      <c r="W94" s="4">
        <v>0</v>
      </c>
      <c r="X94" s="4">
        <v>0</v>
      </c>
      <c r="Y94" s="4">
        <v>0</v>
      </c>
    </row>
    <row r="95" spans="4:25" x14ac:dyDescent="0.45">
      <c r="D95" s="17">
        <f>IF(SUM(F95:K96)&gt;0,D93+1,"")</f>
        <v>44</v>
      </c>
      <c r="E95" s="15" t="s">
        <v>12</v>
      </c>
      <c r="F95" s="4">
        <v>14</v>
      </c>
      <c r="G95" s="4">
        <v>15</v>
      </c>
      <c r="H95" s="4">
        <v>12</v>
      </c>
      <c r="I95" s="4">
        <v>16</v>
      </c>
      <c r="J95" s="4">
        <v>13</v>
      </c>
      <c r="K95" s="4">
        <v>11</v>
      </c>
      <c r="L95" s="4">
        <v>18</v>
      </c>
      <c r="M95" s="4">
        <v>17</v>
      </c>
      <c r="N95" s="4">
        <v>20</v>
      </c>
      <c r="O95" s="4">
        <v>19</v>
      </c>
      <c r="P95" s="4">
        <v>0</v>
      </c>
      <c r="Q95" s="4">
        <v>0</v>
      </c>
      <c r="R95" s="4">
        <v>0</v>
      </c>
      <c r="S95" s="4">
        <v>0</v>
      </c>
      <c r="T95" s="4">
        <v>0</v>
      </c>
      <c r="U95" s="4">
        <v>0</v>
      </c>
      <c r="V95" s="4">
        <v>0</v>
      </c>
      <c r="W95" s="4">
        <v>0</v>
      </c>
      <c r="X95" s="4">
        <v>0</v>
      </c>
      <c r="Y95" s="4">
        <v>0</v>
      </c>
    </row>
    <row r="96" spans="4:25" ht="16.3" thickBot="1" x14ac:dyDescent="0.5">
      <c r="D96" s="18"/>
      <c r="E96" s="16"/>
      <c r="F96" s="4">
        <v>10</v>
      </c>
      <c r="G96" s="4">
        <v>9</v>
      </c>
      <c r="H96" s="4">
        <v>8</v>
      </c>
      <c r="I96" s="4">
        <v>7</v>
      </c>
      <c r="J96" s="4">
        <v>6</v>
      </c>
      <c r="K96" s="4">
        <v>5</v>
      </c>
      <c r="L96" s="4">
        <v>4</v>
      </c>
      <c r="M96" s="4">
        <v>3</v>
      </c>
      <c r="N96" s="4">
        <v>2</v>
      </c>
      <c r="O96" s="4">
        <v>1</v>
      </c>
      <c r="P96" s="4">
        <v>0</v>
      </c>
      <c r="Q96" s="4">
        <v>0</v>
      </c>
      <c r="R96" s="4">
        <v>0</v>
      </c>
      <c r="S96" s="4">
        <v>0</v>
      </c>
      <c r="T96" s="4">
        <v>0</v>
      </c>
      <c r="U96" s="4">
        <v>0</v>
      </c>
      <c r="V96" s="4">
        <v>0</v>
      </c>
      <c r="W96" s="4">
        <v>0</v>
      </c>
      <c r="X96" s="4">
        <v>0</v>
      </c>
      <c r="Y96" s="4">
        <v>0</v>
      </c>
    </row>
    <row r="97" spans="4:25" x14ac:dyDescent="0.45">
      <c r="D97" s="17">
        <f>IF(SUM(F97:K98)&gt;0,D95+1,"")</f>
        <v>45</v>
      </c>
      <c r="E97" s="15" t="s">
        <v>13</v>
      </c>
      <c r="F97" s="4">
        <v>15</v>
      </c>
      <c r="G97" s="4">
        <v>12</v>
      </c>
      <c r="H97" s="4">
        <v>16</v>
      </c>
      <c r="I97" s="4">
        <v>13</v>
      </c>
      <c r="J97" s="4">
        <v>11</v>
      </c>
      <c r="K97" s="4">
        <v>18</v>
      </c>
      <c r="L97" s="4">
        <v>17</v>
      </c>
      <c r="M97" s="4">
        <v>20</v>
      </c>
      <c r="N97" s="4">
        <v>19</v>
      </c>
      <c r="O97" s="4">
        <v>0</v>
      </c>
      <c r="P97" s="4">
        <v>0</v>
      </c>
      <c r="Q97" s="4">
        <v>0</v>
      </c>
      <c r="R97" s="4">
        <v>0</v>
      </c>
      <c r="S97" s="4">
        <v>0</v>
      </c>
      <c r="T97" s="4">
        <v>0</v>
      </c>
      <c r="U97" s="4">
        <v>0</v>
      </c>
      <c r="V97" s="4">
        <v>0</v>
      </c>
      <c r="W97" s="4">
        <v>0</v>
      </c>
      <c r="X97" s="4">
        <v>0</v>
      </c>
      <c r="Y97" s="4">
        <v>0</v>
      </c>
    </row>
    <row r="98" spans="4:25" ht="16.3" thickBot="1" x14ac:dyDescent="0.5">
      <c r="D98" s="18"/>
      <c r="E98" s="16"/>
      <c r="F98" s="4">
        <v>14</v>
      </c>
      <c r="G98" s="4">
        <v>10</v>
      </c>
      <c r="H98" s="4">
        <v>9</v>
      </c>
      <c r="I98" s="4">
        <v>8</v>
      </c>
      <c r="J98" s="4">
        <v>7</v>
      </c>
      <c r="K98" s="4">
        <v>6</v>
      </c>
      <c r="L98" s="4">
        <v>5</v>
      </c>
      <c r="M98" s="4">
        <v>4</v>
      </c>
      <c r="N98" s="4">
        <v>3</v>
      </c>
      <c r="O98" s="4">
        <v>2</v>
      </c>
      <c r="P98" s="4">
        <v>1</v>
      </c>
      <c r="Q98" s="4">
        <v>0</v>
      </c>
      <c r="R98" s="4">
        <v>0</v>
      </c>
      <c r="S98" s="4">
        <v>0</v>
      </c>
      <c r="T98" s="4">
        <v>0</v>
      </c>
      <c r="U98" s="4">
        <v>0</v>
      </c>
      <c r="V98" s="4">
        <v>0</v>
      </c>
      <c r="W98" s="4">
        <v>0</v>
      </c>
      <c r="X98" s="4">
        <v>0</v>
      </c>
      <c r="Y98" s="4">
        <v>0</v>
      </c>
    </row>
    <row r="99" spans="4:25" x14ac:dyDescent="0.45">
      <c r="D99" s="17">
        <f>IF(SUM(F99:K100)&gt;0,D97+1,"")</f>
        <v>46</v>
      </c>
      <c r="E99" s="15" t="s">
        <v>13</v>
      </c>
      <c r="F99" s="4">
        <v>12</v>
      </c>
      <c r="G99" s="4">
        <v>16</v>
      </c>
      <c r="H99" s="4">
        <v>13</v>
      </c>
      <c r="I99" s="4">
        <v>11</v>
      </c>
      <c r="J99" s="4">
        <v>18</v>
      </c>
      <c r="K99" s="4">
        <v>17</v>
      </c>
      <c r="L99" s="4">
        <v>20</v>
      </c>
      <c r="M99" s="4">
        <v>19</v>
      </c>
      <c r="N99" s="4">
        <v>0</v>
      </c>
      <c r="O99" s="4">
        <v>0</v>
      </c>
      <c r="P99" s="4">
        <v>0</v>
      </c>
      <c r="Q99" s="4">
        <v>0</v>
      </c>
      <c r="R99" s="4">
        <v>0</v>
      </c>
      <c r="S99" s="4">
        <v>0</v>
      </c>
      <c r="T99" s="4">
        <v>0</v>
      </c>
      <c r="U99" s="4">
        <v>0</v>
      </c>
      <c r="V99" s="4">
        <v>0</v>
      </c>
      <c r="W99" s="4">
        <v>0</v>
      </c>
      <c r="X99" s="4">
        <v>0</v>
      </c>
      <c r="Y99" s="4">
        <v>0</v>
      </c>
    </row>
    <row r="100" spans="4:25" ht="16.3" thickBot="1" x14ac:dyDescent="0.5">
      <c r="D100" s="18"/>
      <c r="E100" s="16"/>
      <c r="F100" s="4">
        <v>15</v>
      </c>
      <c r="G100" s="4">
        <v>14</v>
      </c>
      <c r="H100" s="4">
        <v>10</v>
      </c>
      <c r="I100" s="4">
        <v>9</v>
      </c>
      <c r="J100" s="4">
        <v>8</v>
      </c>
      <c r="K100" s="4">
        <v>7</v>
      </c>
      <c r="L100" s="4">
        <v>6</v>
      </c>
      <c r="M100" s="4">
        <v>5</v>
      </c>
      <c r="N100" s="4">
        <v>4</v>
      </c>
      <c r="O100" s="4">
        <v>3</v>
      </c>
      <c r="P100" s="4">
        <v>2</v>
      </c>
      <c r="Q100" s="4">
        <v>1</v>
      </c>
      <c r="R100" s="4">
        <v>0</v>
      </c>
      <c r="S100" s="4">
        <v>0</v>
      </c>
      <c r="T100" s="4">
        <v>0</v>
      </c>
      <c r="U100" s="4">
        <v>0</v>
      </c>
      <c r="V100" s="4">
        <v>0</v>
      </c>
      <c r="W100" s="4">
        <v>0</v>
      </c>
      <c r="X100" s="4">
        <v>0</v>
      </c>
      <c r="Y100" s="4">
        <v>0</v>
      </c>
    </row>
    <row r="101" spans="4:25" x14ac:dyDescent="0.45">
      <c r="D101" s="17">
        <f>IF(SUM(F101:K102)&gt;0,D99+1,"")</f>
        <v>47</v>
      </c>
      <c r="E101" s="15" t="s">
        <v>13</v>
      </c>
      <c r="F101" s="4">
        <v>16</v>
      </c>
      <c r="G101" s="4">
        <v>13</v>
      </c>
      <c r="H101" s="4">
        <v>11</v>
      </c>
      <c r="I101" s="4">
        <v>18</v>
      </c>
      <c r="J101" s="4">
        <v>17</v>
      </c>
      <c r="K101" s="4">
        <v>20</v>
      </c>
      <c r="L101" s="4">
        <v>19</v>
      </c>
      <c r="M101" s="4">
        <v>0</v>
      </c>
      <c r="N101" s="4">
        <v>0</v>
      </c>
      <c r="O101" s="4">
        <v>0</v>
      </c>
      <c r="P101" s="4">
        <v>0</v>
      </c>
      <c r="Q101" s="4">
        <v>0</v>
      </c>
      <c r="R101" s="4">
        <v>0</v>
      </c>
      <c r="S101" s="4">
        <v>0</v>
      </c>
      <c r="T101" s="4">
        <v>0</v>
      </c>
      <c r="U101" s="4">
        <v>0</v>
      </c>
      <c r="V101" s="4">
        <v>0</v>
      </c>
      <c r="W101" s="4">
        <v>0</v>
      </c>
      <c r="X101" s="4">
        <v>0</v>
      </c>
      <c r="Y101" s="4">
        <v>0</v>
      </c>
    </row>
    <row r="102" spans="4:25" ht="16.3" thickBot="1" x14ac:dyDescent="0.5">
      <c r="D102" s="18"/>
      <c r="E102" s="16"/>
      <c r="F102" s="4">
        <v>12</v>
      </c>
      <c r="G102" s="4">
        <v>15</v>
      </c>
      <c r="H102" s="4">
        <v>14</v>
      </c>
      <c r="I102" s="4">
        <v>10</v>
      </c>
      <c r="J102" s="4">
        <v>9</v>
      </c>
      <c r="K102" s="4">
        <v>8</v>
      </c>
      <c r="L102" s="4">
        <v>7</v>
      </c>
      <c r="M102" s="4">
        <v>6</v>
      </c>
      <c r="N102" s="4">
        <v>5</v>
      </c>
      <c r="O102" s="4">
        <v>4</v>
      </c>
      <c r="P102" s="4">
        <v>3</v>
      </c>
      <c r="Q102" s="4">
        <v>2</v>
      </c>
      <c r="R102" s="4">
        <v>1</v>
      </c>
      <c r="S102" s="4">
        <v>0</v>
      </c>
      <c r="T102" s="4">
        <v>0</v>
      </c>
      <c r="U102" s="4">
        <v>0</v>
      </c>
      <c r="V102" s="4">
        <v>0</v>
      </c>
      <c r="W102" s="4">
        <v>0</v>
      </c>
      <c r="X102" s="4">
        <v>0</v>
      </c>
      <c r="Y102" s="4">
        <v>0</v>
      </c>
    </row>
    <row r="103" spans="4:25" x14ac:dyDescent="0.45">
      <c r="D103" s="17">
        <f>IF(SUM(F103:K104)&gt;0,D101+1,"")</f>
        <v>48</v>
      </c>
      <c r="E103" s="15" t="s">
        <v>12</v>
      </c>
      <c r="F103" s="4">
        <v>13</v>
      </c>
      <c r="G103" s="4">
        <v>11</v>
      </c>
      <c r="H103" s="4">
        <v>18</v>
      </c>
      <c r="I103" s="4">
        <v>17</v>
      </c>
      <c r="J103" s="4">
        <v>20</v>
      </c>
      <c r="K103" s="4">
        <v>19</v>
      </c>
      <c r="L103" s="4">
        <v>16</v>
      </c>
      <c r="M103" s="4">
        <v>0</v>
      </c>
      <c r="N103" s="4">
        <v>0</v>
      </c>
      <c r="O103" s="4">
        <v>0</v>
      </c>
      <c r="P103" s="4">
        <v>0</v>
      </c>
      <c r="Q103" s="4">
        <v>0</v>
      </c>
      <c r="R103" s="4">
        <v>0</v>
      </c>
      <c r="S103" s="4">
        <v>0</v>
      </c>
      <c r="T103" s="4">
        <v>0</v>
      </c>
      <c r="U103" s="4">
        <v>0</v>
      </c>
      <c r="V103" s="4">
        <v>0</v>
      </c>
      <c r="W103" s="4">
        <v>0</v>
      </c>
      <c r="X103" s="4">
        <v>0</v>
      </c>
      <c r="Y103" s="4">
        <v>0</v>
      </c>
    </row>
    <row r="104" spans="4:25" ht="16.3" thickBot="1" x14ac:dyDescent="0.5">
      <c r="D104" s="18"/>
      <c r="E104" s="16"/>
      <c r="F104" s="4">
        <v>12</v>
      </c>
      <c r="G104" s="4">
        <v>15</v>
      </c>
      <c r="H104" s="4">
        <v>14</v>
      </c>
      <c r="I104" s="4">
        <v>10</v>
      </c>
      <c r="J104" s="4">
        <v>9</v>
      </c>
      <c r="K104" s="4">
        <v>8</v>
      </c>
      <c r="L104" s="4">
        <v>7</v>
      </c>
      <c r="M104" s="4">
        <v>6</v>
      </c>
      <c r="N104" s="4">
        <v>5</v>
      </c>
      <c r="O104" s="4">
        <v>4</v>
      </c>
      <c r="P104" s="4">
        <v>3</v>
      </c>
      <c r="Q104" s="4">
        <v>2</v>
      </c>
      <c r="R104" s="4">
        <v>1</v>
      </c>
      <c r="S104" s="4">
        <v>0</v>
      </c>
      <c r="T104" s="4">
        <v>0</v>
      </c>
      <c r="U104" s="4">
        <v>0</v>
      </c>
      <c r="V104" s="4">
        <v>0</v>
      </c>
      <c r="W104" s="4">
        <v>0</v>
      </c>
      <c r="X104" s="4">
        <v>0</v>
      </c>
      <c r="Y104" s="4">
        <v>0</v>
      </c>
    </row>
    <row r="105" spans="4:25" x14ac:dyDescent="0.45">
      <c r="D105" s="17">
        <f>IF(SUM(F105:K106)&gt;0,D103+1,"")</f>
        <v>49</v>
      </c>
      <c r="E105" s="15" t="s">
        <v>13</v>
      </c>
      <c r="F105" s="4">
        <v>11</v>
      </c>
      <c r="G105" s="4">
        <v>18</v>
      </c>
      <c r="H105" s="4">
        <v>17</v>
      </c>
      <c r="I105" s="4">
        <v>20</v>
      </c>
      <c r="J105" s="4">
        <v>19</v>
      </c>
      <c r="K105" s="4">
        <v>16</v>
      </c>
      <c r="L105" s="4">
        <v>0</v>
      </c>
      <c r="M105" s="4">
        <v>0</v>
      </c>
      <c r="N105" s="4">
        <v>0</v>
      </c>
      <c r="O105" s="4">
        <v>0</v>
      </c>
      <c r="P105" s="4">
        <v>0</v>
      </c>
      <c r="Q105" s="4">
        <v>0</v>
      </c>
      <c r="R105" s="4">
        <v>0</v>
      </c>
      <c r="S105" s="4">
        <v>0</v>
      </c>
      <c r="T105" s="4">
        <v>0</v>
      </c>
      <c r="U105" s="4">
        <v>0</v>
      </c>
      <c r="V105" s="4">
        <v>0</v>
      </c>
      <c r="W105" s="4">
        <v>0</v>
      </c>
      <c r="X105" s="4">
        <v>0</v>
      </c>
      <c r="Y105" s="4">
        <v>0</v>
      </c>
    </row>
    <row r="106" spans="4:25" ht="16.3" thickBot="1" x14ac:dyDescent="0.5">
      <c r="D106" s="18"/>
      <c r="E106" s="16"/>
      <c r="F106" s="4">
        <v>13</v>
      </c>
      <c r="G106" s="4">
        <v>12</v>
      </c>
      <c r="H106" s="4">
        <v>15</v>
      </c>
      <c r="I106" s="4">
        <v>14</v>
      </c>
      <c r="J106" s="4">
        <v>10</v>
      </c>
      <c r="K106" s="4">
        <v>9</v>
      </c>
      <c r="L106" s="4">
        <v>8</v>
      </c>
      <c r="M106" s="4">
        <v>7</v>
      </c>
      <c r="N106" s="4">
        <v>6</v>
      </c>
      <c r="O106" s="4">
        <v>5</v>
      </c>
      <c r="P106" s="4">
        <v>4</v>
      </c>
      <c r="Q106" s="4">
        <v>3</v>
      </c>
      <c r="R106" s="4">
        <v>2</v>
      </c>
      <c r="S106" s="4">
        <v>1</v>
      </c>
      <c r="T106" s="4">
        <v>0</v>
      </c>
      <c r="U106" s="4">
        <v>0</v>
      </c>
      <c r="V106" s="4">
        <v>0</v>
      </c>
      <c r="W106" s="4">
        <v>0</v>
      </c>
      <c r="X106" s="4">
        <v>0</v>
      </c>
      <c r="Y106" s="4">
        <v>0</v>
      </c>
    </row>
    <row r="107" spans="4:25" x14ac:dyDescent="0.45">
      <c r="D107" s="17">
        <f>IF(SUM(F107:K108)&gt;0,D105+1,"")</f>
        <v>50</v>
      </c>
      <c r="E107" s="15" t="s">
        <v>13</v>
      </c>
      <c r="F107" s="4">
        <v>18</v>
      </c>
      <c r="G107" s="4">
        <v>17</v>
      </c>
      <c r="H107" s="4">
        <v>20</v>
      </c>
      <c r="I107" s="4">
        <v>19</v>
      </c>
      <c r="J107" s="4">
        <v>16</v>
      </c>
      <c r="K107" s="4">
        <v>0</v>
      </c>
      <c r="L107" s="4">
        <v>0</v>
      </c>
      <c r="M107" s="4">
        <v>0</v>
      </c>
      <c r="N107" s="4">
        <v>0</v>
      </c>
      <c r="O107" s="4">
        <v>0</v>
      </c>
      <c r="P107" s="4">
        <v>0</v>
      </c>
      <c r="Q107" s="4">
        <v>0</v>
      </c>
      <c r="R107" s="4">
        <v>0</v>
      </c>
      <c r="S107" s="4">
        <v>0</v>
      </c>
      <c r="T107" s="4">
        <v>0</v>
      </c>
      <c r="U107" s="4">
        <v>0</v>
      </c>
      <c r="V107" s="4">
        <v>0</v>
      </c>
      <c r="W107" s="4">
        <v>0</v>
      </c>
      <c r="X107" s="4">
        <v>0</v>
      </c>
      <c r="Y107" s="4">
        <v>0</v>
      </c>
    </row>
    <row r="108" spans="4:25" ht="16.3" thickBot="1" x14ac:dyDescent="0.5">
      <c r="D108" s="18"/>
      <c r="E108" s="16"/>
      <c r="F108" s="4">
        <v>11</v>
      </c>
      <c r="G108" s="4">
        <v>13</v>
      </c>
      <c r="H108" s="4">
        <v>12</v>
      </c>
      <c r="I108" s="4">
        <v>15</v>
      </c>
      <c r="J108" s="4">
        <v>14</v>
      </c>
      <c r="K108" s="4">
        <v>10</v>
      </c>
      <c r="L108" s="4">
        <v>9</v>
      </c>
      <c r="M108" s="4">
        <v>8</v>
      </c>
      <c r="N108" s="4">
        <v>7</v>
      </c>
      <c r="O108" s="4">
        <v>6</v>
      </c>
      <c r="P108" s="4">
        <v>5</v>
      </c>
      <c r="Q108" s="4">
        <v>4</v>
      </c>
      <c r="R108" s="4">
        <v>3</v>
      </c>
      <c r="S108" s="4">
        <v>2</v>
      </c>
      <c r="T108" s="4">
        <v>1</v>
      </c>
      <c r="U108" s="4">
        <v>0</v>
      </c>
      <c r="V108" s="4">
        <v>0</v>
      </c>
      <c r="W108" s="4">
        <v>0</v>
      </c>
      <c r="X108" s="4">
        <v>0</v>
      </c>
      <c r="Y108" s="4">
        <v>0</v>
      </c>
    </row>
    <row r="109" spans="4:25" x14ac:dyDescent="0.45">
      <c r="D109" s="17">
        <f>IF(SUM(F109:K110)&gt;0,D107+1,"")</f>
        <v>51</v>
      </c>
      <c r="E109" s="15" t="s">
        <v>14</v>
      </c>
      <c r="F109" s="4">
        <v>18</v>
      </c>
      <c r="G109" s="4">
        <v>17</v>
      </c>
      <c r="H109" s="4">
        <v>20</v>
      </c>
      <c r="I109" s="4">
        <v>19</v>
      </c>
      <c r="J109" s="4">
        <v>16</v>
      </c>
      <c r="K109" s="4">
        <v>0</v>
      </c>
      <c r="L109" s="4">
        <v>0</v>
      </c>
      <c r="M109" s="4">
        <v>0</v>
      </c>
      <c r="N109" s="4">
        <v>0</v>
      </c>
      <c r="O109" s="4">
        <v>0</v>
      </c>
      <c r="P109" s="4">
        <v>0</v>
      </c>
      <c r="Q109" s="4">
        <v>0</v>
      </c>
      <c r="R109" s="4">
        <v>0</v>
      </c>
      <c r="S109" s="4">
        <v>0</v>
      </c>
      <c r="T109" s="4">
        <v>0</v>
      </c>
      <c r="U109" s="4">
        <v>0</v>
      </c>
      <c r="V109" s="4">
        <v>0</v>
      </c>
      <c r="W109" s="4">
        <v>0</v>
      </c>
      <c r="X109" s="4">
        <v>0</v>
      </c>
      <c r="Y109" s="4">
        <v>0</v>
      </c>
    </row>
    <row r="110" spans="4:25" ht="16.3" thickBot="1" x14ac:dyDescent="0.5">
      <c r="D110" s="18"/>
      <c r="E110" s="16"/>
      <c r="F110" s="4">
        <v>13</v>
      </c>
      <c r="G110" s="4">
        <v>12</v>
      </c>
      <c r="H110" s="4">
        <v>15</v>
      </c>
      <c r="I110" s="4">
        <v>14</v>
      </c>
      <c r="J110" s="4">
        <v>10</v>
      </c>
      <c r="K110" s="4">
        <v>9</v>
      </c>
      <c r="L110" s="4">
        <v>8</v>
      </c>
      <c r="M110" s="4">
        <v>7</v>
      </c>
      <c r="N110" s="4">
        <v>6</v>
      </c>
      <c r="O110" s="4">
        <v>5</v>
      </c>
      <c r="P110" s="4">
        <v>4</v>
      </c>
      <c r="Q110" s="4">
        <v>3</v>
      </c>
      <c r="R110" s="4">
        <v>2</v>
      </c>
      <c r="S110" s="4">
        <v>1</v>
      </c>
      <c r="T110" s="4">
        <v>11</v>
      </c>
      <c r="U110" s="4">
        <v>0</v>
      </c>
      <c r="V110" s="4">
        <v>0</v>
      </c>
      <c r="W110" s="4">
        <v>0</v>
      </c>
      <c r="X110" s="4">
        <v>0</v>
      </c>
      <c r="Y110" s="4">
        <v>0</v>
      </c>
    </row>
    <row r="111" spans="4:25" x14ac:dyDescent="0.45">
      <c r="D111" s="17">
        <f>IF(SUM(F111:K112)&gt;0,D109+1,"")</f>
        <v>52</v>
      </c>
      <c r="E111" s="15" t="s">
        <v>14</v>
      </c>
      <c r="F111" s="4">
        <v>18</v>
      </c>
      <c r="G111" s="4">
        <v>17</v>
      </c>
      <c r="H111" s="4">
        <v>20</v>
      </c>
      <c r="I111" s="4">
        <v>19</v>
      </c>
      <c r="J111" s="4">
        <v>16</v>
      </c>
      <c r="K111" s="4">
        <v>0</v>
      </c>
      <c r="L111" s="4">
        <v>0</v>
      </c>
      <c r="M111" s="4">
        <v>0</v>
      </c>
      <c r="N111" s="4">
        <v>0</v>
      </c>
      <c r="O111" s="4">
        <v>0</v>
      </c>
      <c r="P111" s="4">
        <v>0</v>
      </c>
      <c r="Q111" s="4">
        <v>0</v>
      </c>
      <c r="R111" s="4">
        <v>0</v>
      </c>
      <c r="S111" s="4">
        <v>0</v>
      </c>
      <c r="T111" s="4">
        <v>0</v>
      </c>
      <c r="U111" s="4">
        <v>0</v>
      </c>
      <c r="V111" s="4">
        <v>0</v>
      </c>
      <c r="W111" s="4">
        <v>0</v>
      </c>
      <c r="X111" s="4">
        <v>0</v>
      </c>
      <c r="Y111" s="4">
        <v>0</v>
      </c>
    </row>
    <row r="112" spans="4:25" ht="16.3" thickBot="1" x14ac:dyDescent="0.5">
      <c r="D112" s="18"/>
      <c r="E112" s="16"/>
      <c r="F112" s="4">
        <v>12</v>
      </c>
      <c r="G112" s="4">
        <v>15</v>
      </c>
      <c r="H112" s="4">
        <v>14</v>
      </c>
      <c r="I112" s="4">
        <v>10</v>
      </c>
      <c r="J112" s="4">
        <v>9</v>
      </c>
      <c r="K112" s="4">
        <v>8</v>
      </c>
      <c r="L112" s="4">
        <v>7</v>
      </c>
      <c r="M112" s="4">
        <v>6</v>
      </c>
      <c r="N112" s="4">
        <v>5</v>
      </c>
      <c r="O112" s="4">
        <v>4</v>
      </c>
      <c r="P112" s="4">
        <v>3</v>
      </c>
      <c r="Q112" s="4">
        <v>2</v>
      </c>
      <c r="R112" s="4">
        <v>1</v>
      </c>
      <c r="S112" s="4">
        <v>11</v>
      </c>
      <c r="T112" s="4">
        <v>13</v>
      </c>
      <c r="U112" s="4">
        <v>0</v>
      </c>
      <c r="V112" s="4">
        <v>0</v>
      </c>
      <c r="W112" s="4">
        <v>0</v>
      </c>
      <c r="X112" s="4">
        <v>0</v>
      </c>
      <c r="Y112" s="4">
        <v>0</v>
      </c>
    </row>
    <row r="113" spans="4:25" x14ac:dyDescent="0.45">
      <c r="D113" s="17">
        <f>IF(SUM(F113:K114)&gt;0,D111+1,"")</f>
        <v>53</v>
      </c>
      <c r="E113" s="15" t="s">
        <v>14</v>
      </c>
      <c r="F113" s="4">
        <v>18</v>
      </c>
      <c r="G113" s="4">
        <v>17</v>
      </c>
      <c r="H113" s="4">
        <v>20</v>
      </c>
      <c r="I113" s="4">
        <v>19</v>
      </c>
      <c r="J113" s="4">
        <v>16</v>
      </c>
      <c r="K113" s="4">
        <v>0</v>
      </c>
      <c r="L113" s="4">
        <v>0</v>
      </c>
      <c r="M113" s="4">
        <v>0</v>
      </c>
      <c r="N113" s="4">
        <v>0</v>
      </c>
      <c r="O113" s="4">
        <v>0</v>
      </c>
      <c r="P113" s="4">
        <v>0</v>
      </c>
      <c r="Q113" s="4">
        <v>0</v>
      </c>
      <c r="R113" s="4">
        <v>0</v>
      </c>
      <c r="S113" s="4">
        <v>0</v>
      </c>
      <c r="T113" s="4">
        <v>0</v>
      </c>
      <c r="U113" s="4">
        <v>0</v>
      </c>
      <c r="V113" s="4">
        <v>0</v>
      </c>
      <c r="W113" s="4">
        <v>0</v>
      </c>
      <c r="X113" s="4">
        <v>0</v>
      </c>
      <c r="Y113" s="4">
        <v>0</v>
      </c>
    </row>
    <row r="114" spans="4:25" ht="16.3" thickBot="1" x14ac:dyDescent="0.5">
      <c r="D114" s="18"/>
      <c r="E114" s="16"/>
      <c r="F114" s="4">
        <v>15</v>
      </c>
      <c r="G114" s="4">
        <v>14</v>
      </c>
      <c r="H114" s="4">
        <v>10</v>
      </c>
      <c r="I114" s="4">
        <v>9</v>
      </c>
      <c r="J114" s="4">
        <v>8</v>
      </c>
      <c r="K114" s="4">
        <v>7</v>
      </c>
      <c r="L114" s="4">
        <v>6</v>
      </c>
      <c r="M114" s="4">
        <v>5</v>
      </c>
      <c r="N114" s="4">
        <v>4</v>
      </c>
      <c r="O114" s="4">
        <v>3</v>
      </c>
      <c r="P114" s="4">
        <v>2</v>
      </c>
      <c r="Q114" s="4">
        <v>1</v>
      </c>
      <c r="R114" s="4">
        <v>11</v>
      </c>
      <c r="S114" s="4">
        <v>13</v>
      </c>
      <c r="T114" s="4">
        <v>12</v>
      </c>
      <c r="U114" s="4">
        <v>0</v>
      </c>
      <c r="V114" s="4">
        <v>0</v>
      </c>
      <c r="W114" s="4">
        <v>0</v>
      </c>
      <c r="X114" s="4">
        <v>0</v>
      </c>
      <c r="Y114" s="4">
        <v>0</v>
      </c>
    </row>
    <row r="115" spans="4:25" x14ac:dyDescent="0.45">
      <c r="D115" s="17">
        <f>IF(SUM(F115:K116)&gt;0,D113+1,"")</f>
        <v>54</v>
      </c>
      <c r="E115" s="15" t="s">
        <v>15</v>
      </c>
      <c r="F115" s="4">
        <v>15</v>
      </c>
      <c r="G115" s="4">
        <v>18</v>
      </c>
      <c r="H115" s="4">
        <v>17</v>
      </c>
      <c r="I115" s="4">
        <v>20</v>
      </c>
      <c r="J115" s="4">
        <v>19</v>
      </c>
      <c r="K115" s="4">
        <v>16</v>
      </c>
      <c r="L115" s="4">
        <v>0</v>
      </c>
      <c r="M115" s="4">
        <v>0</v>
      </c>
      <c r="N115" s="4">
        <v>0</v>
      </c>
      <c r="O115" s="4">
        <v>0</v>
      </c>
      <c r="P115" s="4">
        <v>0</v>
      </c>
      <c r="Q115" s="4">
        <v>0</v>
      </c>
      <c r="R115" s="4">
        <v>0</v>
      </c>
      <c r="S115" s="4">
        <v>0</v>
      </c>
      <c r="T115" s="4">
        <v>0</v>
      </c>
      <c r="U115" s="4">
        <v>0</v>
      </c>
      <c r="V115" s="4">
        <v>0</v>
      </c>
      <c r="W115" s="4">
        <v>0</v>
      </c>
      <c r="X115" s="4">
        <v>0</v>
      </c>
      <c r="Y115" s="4">
        <v>0</v>
      </c>
    </row>
    <row r="116" spans="4:25" ht="16.3" thickBot="1" x14ac:dyDescent="0.5">
      <c r="D116" s="18"/>
      <c r="E116" s="16"/>
      <c r="F116" s="4">
        <v>14</v>
      </c>
      <c r="G116" s="4">
        <v>10</v>
      </c>
      <c r="H116" s="4">
        <v>9</v>
      </c>
      <c r="I116" s="4">
        <v>8</v>
      </c>
      <c r="J116" s="4">
        <v>7</v>
      </c>
      <c r="K116" s="4">
        <v>6</v>
      </c>
      <c r="L116" s="4">
        <v>5</v>
      </c>
      <c r="M116" s="4">
        <v>4</v>
      </c>
      <c r="N116" s="4">
        <v>3</v>
      </c>
      <c r="O116" s="4">
        <v>2</v>
      </c>
      <c r="P116" s="4">
        <v>1</v>
      </c>
      <c r="Q116" s="4">
        <v>11</v>
      </c>
      <c r="R116" s="4">
        <v>13</v>
      </c>
      <c r="S116" s="4">
        <v>12</v>
      </c>
      <c r="T116" s="4">
        <v>0</v>
      </c>
      <c r="U116" s="4">
        <v>0</v>
      </c>
      <c r="V116" s="4">
        <v>0</v>
      </c>
      <c r="W116" s="4">
        <v>0</v>
      </c>
      <c r="X116" s="4">
        <v>0</v>
      </c>
      <c r="Y116" s="4">
        <v>0</v>
      </c>
    </row>
    <row r="117" spans="4:25" x14ac:dyDescent="0.45">
      <c r="D117" s="17">
        <f>IF(SUM(F117:K118)&gt;0,D115+1,"")</f>
        <v>55</v>
      </c>
      <c r="E117" s="15" t="s">
        <v>15</v>
      </c>
      <c r="F117" s="4">
        <v>14</v>
      </c>
      <c r="G117" s="4">
        <v>15</v>
      </c>
      <c r="H117" s="4">
        <v>18</v>
      </c>
      <c r="I117" s="4">
        <v>17</v>
      </c>
      <c r="J117" s="4">
        <v>20</v>
      </c>
      <c r="K117" s="4">
        <v>19</v>
      </c>
      <c r="L117" s="4">
        <v>16</v>
      </c>
      <c r="M117" s="4">
        <v>0</v>
      </c>
      <c r="N117" s="4">
        <v>0</v>
      </c>
      <c r="O117" s="4">
        <v>0</v>
      </c>
      <c r="P117" s="4">
        <v>0</v>
      </c>
      <c r="Q117" s="4">
        <v>0</v>
      </c>
      <c r="R117" s="4">
        <v>0</v>
      </c>
      <c r="S117" s="4">
        <v>0</v>
      </c>
      <c r="T117" s="4">
        <v>0</v>
      </c>
      <c r="U117" s="4">
        <v>0</v>
      </c>
      <c r="V117" s="4">
        <v>0</v>
      </c>
      <c r="W117" s="4">
        <v>0</v>
      </c>
      <c r="X117" s="4">
        <v>0</v>
      </c>
      <c r="Y117" s="4">
        <v>0</v>
      </c>
    </row>
    <row r="118" spans="4:25" ht="16.3" thickBot="1" x14ac:dyDescent="0.5">
      <c r="D118" s="18"/>
      <c r="E118" s="16"/>
      <c r="F118" s="4">
        <v>10</v>
      </c>
      <c r="G118" s="4">
        <v>9</v>
      </c>
      <c r="H118" s="4">
        <v>8</v>
      </c>
      <c r="I118" s="4">
        <v>7</v>
      </c>
      <c r="J118" s="4">
        <v>6</v>
      </c>
      <c r="K118" s="4">
        <v>5</v>
      </c>
      <c r="L118" s="4">
        <v>4</v>
      </c>
      <c r="M118" s="4">
        <v>3</v>
      </c>
      <c r="N118" s="4">
        <v>2</v>
      </c>
      <c r="O118" s="4">
        <v>1</v>
      </c>
      <c r="P118" s="4">
        <v>11</v>
      </c>
      <c r="Q118" s="4">
        <v>13</v>
      </c>
      <c r="R118" s="4">
        <v>12</v>
      </c>
      <c r="S118" s="4">
        <v>0</v>
      </c>
      <c r="T118" s="4">
        <v>0</v>
      </c>
      <c r="U118" s="4">
        <v>0</v>
      </c>
      <c r="V118" s="4">
        <v>0</v>
      </c>
      <c r="W118" s="4">
        <v>0</v>
      </c>
      <c r="X118" s="4">
        <v>0</v>
      </c>
      <c r="Y118" s="4">
        <v>0</v>
      </c>
    </row>
    <row r="119" spans="4:25" x14ac:dyDescent="0.45">
      <c r="D119" s="17">
        <f>IF(SUM(F119:K120)&gt;0,D117+1,"")</f>
        <v>56</v>
      </c>
      <c r="E119" s="15" t="s">
        <v>16</v>
      </c>
      <c r="F119" s="4">
        <v>14</v>
      </c>
      <c r="G119" s="4">
        <v>15</v>
      </c>
      <c r="H119" s="4">
        <v>18</v>
      </c>
      <c r="I119" s="4">
        <v>17</v>
      </c>
      <c r="J119" s="4">
        <v>20</v>
      </c>
      <c r="K119" s="4">
        <v>19</v>
      </c>
      <c r="L119" s="4">
        <v>16</v>
      </c>
      <c r="M119" s="4">
        <v>0</v>
      </c>
      <c r="N119" s="4">
        <v>0</v>
      </c>
      <c r="O119" s="4">
        <v>0</v>
      </c>
      <c r="P119" s="4">
        <v>0</v>
      </c>
      <c r="Q119" s="4">
        <v>0</v>
      </c>
      <c r="R119" s="4">
        <v>0</v>
      </c>
      <c r="S119" s="4">
        <v>0</v>
      </c>
      <c r="T119" s="4">
        <v>0</v>
      </c>
      <c r="U119" s="4">
        <v>0</v>
      </c>
      <c r="V119" s="4">
        <v>0</v>
      </c>
      <c r="W119" s="4">
        <v>0</v>
      </c>
      <c r="X119" s="4">
        <v>0</v>
      </c>
      <c r="Y119" s="4">
        <v>0</v>
      </c>
    </row>
    <row r="120" spans="4:25" ht="16.3" thickBot="1" x14ac:dyDescent="0.5">
      <c r="D120" s="18"/>
      <c r="E120" s="16"/>
      <c r="F120" s="4">
        <v>12</v>
      </c>
      <c r="G120" s="4">
        <v>10</v>
      </c>
      <c r="H120" s="4">
        <v>9</v>
      </c>
      <c r="I120" s="4">
        <v>8</v>
      </c>
      <c r="J120" s="4">
        <v>7</v>
      </c>
      <c r="K120" s="4">
        <v>6</v>
      </c>
      <c r="L120" s="4">
        <v>5</v>
      </c>
      <c r="M120" s="4">
        <v>4</v>
      </c>
      <c r="N120" s="4">
        <v>3</v>
      </c>
      <c r="O120" s="4">
        <v>2</v>
      </c>
      <c r="P120" s="4">
        <v>1</v>
      </c>
      <c r="Q120" s="4">
        <v>11</v>
      </c>
      <c r="R120" s="4">
        <v>13</v>
      </c>
      <c r="S120" s="4">
        <v>0</v>
      </c>
      <c r="T120" s="4">
        <v>0</v>
      </c>
      <c r="U120" s="4">
        <v>0</v>
      </c>
      <c r="V120" s="4">
        <v>0</v>
      </c>
      <c r="W120" s="4">
        <v>0</v>
      </c>
      <c r="X120" s="4">
        <v>0</v>
      </c>
      <c r="Y120" s="4">
        <v>0</v>
      </c>
    </row>
    <row r="121" spans="4:25" x14ac:dyDescent="0.45">
      <c r="D121" s="17">
        <f>IF(SUM(F121:K122)&gt;0,D119+1,"")</f>
        <v>57</v>
      </c>
      <c r="E121" s="15" t="s">
        <v>16</v>
      </c>
      <c r="F121" s="4">
        <v>14</v>
      </c>
      <c r="G121" s="4">
        <v>15</v>
      </c>
      <c r="H121" s="4">
        <v>18</v>
      </c>
      <c r="I121" s="4">
        <v>17</v>
      </c>
      <c r="J121" s="4">
        <v>20</v>
      </c>
      <c r="K121" s="4">
        <v>19</v>
      </c>
      <c r="L121" s="4">
        <v>16</v>
      </c>
      <c r="M121" s="4">
        <v>0</v>
      </c>
      <c r="N121" s="4">
        <v>0</v>
      </c>
      <c r="O121" s="4">
        <v>0</v>
      </c>
      <c r="P121" s="4">
        <v>0</v>
      </c>
      <c r="Q121" s="4">
        <v>0</v>
      </c>
      <c r="R121" s="4">
        <v>0</v>
      </c>
      <c r="S121" s="4">
        <v>0</v>
      </c>
      <c r="T121" s="4">
        <v>0</v>
      </c>
      <c r="U121" s="4">
        <v>0</v>
      </c>
      <c r="V121" s="4">
        <v>0</v>
      </c>
      <c r="W121" s="4">
        <v>0</v>
      </c>
      <c r="X121" s="4">
        <v>0</v>
      </c>
      <c r="Y121" s="4">
        <v>0</v>
      </c>
    </row>
    <row r="122" spans="4:25" ht="16.3" thickBot="1" x14ac:dyDescent="0.5">
      <c r="D122" s="18"/>
      <c r="E122" s="16"/>
      <c r="F122" s="4">
        <v>13</v>
      </c>
      <c r="G122" s="4">
        <v>12</v>
      </c>
      <c r="H122" s="4">
        <v>10</v>
      </c>
      <c r="I122" s="4">
        <v>9</v>
      </c>
      <c r="J122" s="4">
        <v>8</v>
      </c>
      <c r="K122" s="4">
        <v>7</v>
      </c>
      <c r="L122" s="4">
        <v>6</v>
      </c>
      <c r="M122" s="4">
        <v>5</v>
      </c>
      <c r="N122" s="4">
        <v>4</v>
      </c>
      <c r="O122" s="4">
        <v>3</v>
      </c>
      <c r="P122" s="4">
        <v>2</v>
      </c>
      <c r="Q122" s="4">
        <v>1</v>
      </c>
      <c r="R122" s="4">
        <v>11</v>
      </c>
      <c r="S122" s="4">
        <v>0</v>
      </c>
      <c r="T122" s="4">
        <v>0</v>
      </c>
      <c r="U122" s="4">
        <v>0</v>
      </c>
      <c r="V122" s="4">
        <v>0</v>
      </c>
      <c r="W122" s="4">
        <v>0</v>
      </c>
      <c r="X122" s="4">
        <v>0</v>
      </c>
      <c r="Y122" s="4">
        <v>0</v>
      </c>
    </row>
    <row r="123" spans="4:25" x14ac:dyDescent="0.45">
      <c r="D123" s="17">
        <f>IF(SUM(F123:K124)&gt;0,D121+1,"")</f>
        <v>58</v>
      </c>
      <c r="E123" s="15" t="s">
        <v>15</v>
      </c>
      <c r="F123" s="4">
        <v>13</v>
      </c>
      <c r="G123" s="4">
        <v>14</v>
      </c>
      <c r="H123" s="4">
        <v>15</v>
      </c>
      <c r="I123" s="4">
        <v>18</v>
      </c>
      <c r="J123" s="4">
        <v>17</v>
      </c>
      <c r="K123" s="4">
        <v>20</v>
      </c>
      <c r="L123" s="4">
        <v>19</v>
      </c>
      <c r="M123" s="4">
        <v>16</v>
      </c>
      <c r="N123" s="4">
        <v>0</v>
      </c>
      <c r="O123" s="4">
        <v>0</v>
      </c>
      <c r="P123" s="4">
        <v>0</v>
      </c>
      <c r="Q123" s="4">
        <v>0</v>
      </c>
      <c r="R123" s="4">
        <v>0</v>
      </c>
      <c r="S123" s="4">
        <v>0</v>
      </c>
      <c r="T123" s="4">
        <v>0</v>
      </c>
      <c r="U123" s="4">
        <v>0</v>
      </c>
      <c r="V123" s="4">
        <v>0</v>
      </c>
      <c r="W123" s="4">
        <v>0</v>
      </c>
      <c r="X123" s="4">
        <v>0</v>
      </c>
      <c r="Y123" s="4">
        <v>0</v>
      </c>
    </row>
    <row r="124" spans="4:25" ht="16.3" thickBot="1" x14ac:dyDescent="0.5">
      <c r="D124" s="18"/>
      <c r="E124" s="16"/>
      <c r="F124" s="4">
        <v>12</v>
      </c>
      <c r="G124" s="4">
        <v>10</v>
      </c>
      <c r="H124" s="4">
        <v>9</v>
      </c>
      <c r="I124" s="4">
        <v>8</v>
      </c>
      <c r="J124" s="4">
        <v>7</v>
      </c>
      <c r="K124" s="4">
        <v>6</v>
      </c>
      <c r="L124" s="4">
        <v>5</v>
      </c>
      <c r="M124" s="4">
        <v>4</v>
      </c>
      <c r="N124" s="4">
        <v>3</v>
      </c>
      <c r="O124" s="4">
        <v>2</v>
      </c>
      <c r="P124" s="4">
        <v>1</v>
      </c>
      <c r="Q124" s="4">
        <v>11</v>
      </c>
      <c r="R124" s="4">
        <v>0</v>
      </c>
      <c r="S124" s="4">
        <v>0</v>
      </c>
      <c r="T124" s="4">
        <v>0</v>
      </c>
      <c r="U124" s="4">
        <v>0</v>
      </c>
      <c r="V124" s="4">
        <v>0</v>
      </c>
      <c r="W124" s="4">
        <v>0</v>
      </c>
      <c r="X124" s="4">
        <v>0</v>
      </c>
      <c r="Y124" s="4">
        <v>0</v>
      </c>
    </row>
    <row r="125" spans="4:25" x14ac:dyDescent="0.45">
      <c r="D125" s="17">
        <f>IF(SUM(F125:K126)&gt;0,D123+1,"")</f>
        <v>59</v>
      </c>
      <c r="E125" s="15" t="s">
        <v>15</v>
      </c>
      <c r="F125" s="4">
        <v>12</v>
      </c>
      <c r="G125" s="4">
        <v>13</v>
      </c>
      <c r="H125" s="4">
        <v>14</v>
      </c>
      <c r="I125" s="4">
        <v>15</v>
      </c>
      <c r="J125" s="4">
        <v>18</v>
      </c>
      <c r="K125" s="4">
        <v>17</v>
      </c>
      <c r="L125" s="4">
        <v>20</v>
      </c>
      <c r="M125" s="4">
        <v>19</v>
      </c>
      <c r="N125" s="4">
        <v>16</v>
      </c>
      <c r="O125" s="4">
        <v>0</v>
      </c>
      <c r="P125" s="4">
        <v>0</v>
      </c>
      <c r="Q125" s="4">
        <v>0</v>
      </c>
      <c r="R125" s="4">
        <v>0</v>
      </c>
      <c r="S125" s="4">
        <v>0</v>
      </c>
      <c r="T125" s="4">
        <v>0</v>
      </c>
      <c r="U125" s="4">
        <v>0</v>
      </c>
      <c r="V125" s="4">
        <v>0</v>
      </c>
      <c r="W125" s="4">
        <v>0</v>
      </c>
      <c r="X125" s="4">
        <v>0</v>
      </c>
      <c r="Y125" s="4">
        <v>0</v>
      </c>
    </row>
    <row r="126" spans="4:25" ht="16.3" thickBot="1" x14ac:dyDescent="0.5">
      <c r="D126" s="18"/>
      <c r="E126" s="16"/>
      <c r="F126" s="4">
        <v>10</v>
      </c>
      <c r="G126" s="4">
        <v>9</v>
      </c>
      <c r="H126" s="4">
        <v>8</v>
      </c>
      <c r="I126" s="4">
        <v>7</v>
      </c>
      <c r="J126" s="4">
        <v>6</v>
      </c>
      <c r="K126" s="4">
        <v>5</v>
      </c>
      <c r="L126" s="4">
        <v>4</v>
      </c>
      <c r="M126" s="4">
        <v>3</v>
      </c>
      <c r="N126" s="4">
        <v>2</v>
      </c>
      <c r="O126" s="4">
        <v>1</v>
      </c>
      <c r="P126" s="4">
        <v>11</v>
      </c>
      <c r="Q126" s="4">
        <v>0</v>
      </c>
      <c r="R126" s="4">
        <v>0</v>
      </c>
      <c r="S126" s="4">
        <v>0</v>
      </c>
      <c r="T126" s="4">
        <v>0</v>
      </c>
      <c r="U126" s="4">
        <v>0</v>
      </c>
      <c r="V126" s="4">
        <v>0</v>
      </c>
      <c r="W126" s="4">
        <v>0</v>
      </c>
      <c r="X126" s="4">
        <v>0</v>
      </c>
      <c r="Y126" s="4">
        <v>0</v>
      </c>
    </row>
    <row r="127" spans="4:25" x14ac:dyDescent="0.45">
      <c r="D127" s="17">
        <f>IF(SUM(F127:K128)&gt;0,D125+1,"")</f>
        <v>60</v>
      </c>
      <c r="E127" s="15" t="s">
        <v>16</v>
      </c>
      <c r="F127" s="4">
        <v>12</v>
      </c>
      <c r="G127" s="4">
        <v>13</v>
      </c>
      <c r="H127" s="4">
        <v>14</v>
      </c>
      <c r="I127" s="4">
        <v>15</v>
      </c>
      <c r="J127" s="4">
        <v>18</v>
      </c>
      <c r="K127" s="4">
        <v>17</v>
      </c>
      <c r="L127" s="4">
        <v>20</v>
      </c>
      <c r="M127" s="4">
        <v>19</v>
      </c>
      <c r="N127" s="4">
        <v>16</v>
      </c>
      <c r="O127" s="4">
        <v>0</v>
      </c>
      <c r="P127" s="4">
        <v>0</v>
      </c>
      <c r="Q127" s="4">
        <v>0</v>
      </c>
      <c r="R127" s="4">
        <v>0</v>
      </c>
      <c r="S127" s="4">
        <v>0</v>
      </c>
      <c r="T127" s="4">
        <v>0</v>
      </c>
      <c r="U127" s="4">
        <v>0</v>
      </c>
      <c r="V127" s="4">
        <v>0</v>
      </c>
      <c r="W127" s="4">
        <v>0</v>
      </c>
      <c r="X127" s="4">
        <v>0</v>
      </c>
      <c r="Y127" s="4">
        <v>0</v>
      </c>
    </row>
    <row r="128" spans="4:25" ht="16.3" thickBot="1" x14ac:dyDescent="0.5">
      <c r="D128" s="18"/>
      <c r="E128" s="16"/>
      <c r="F128" s="4">
        <v>11</v>
      </c>
      <c r="G128" s="4">
        <v>10</v>
      </c>
      <c r="H128" s="4">
        <v>9</v>
      </c>
      <c r="I128" s="4">
        <v>8</v>
      </c>
      <c r="J128" s="4">
        <v>7</v>
      </c>
      <c r="K128" s="4">
        <v>6</v>
      </c>
      <c r="L128" s="4">
        <v>5</v>
      </c>
      <c r="M128" s="4">
        <v>4</v>
      </c>
      <c r="N128" s="4">
        <v>3</v>
      </c>
      <c r="O128" s="4">
        <v>2</v>
      </c>
      <c r="P128" s="4">
        <v>1</v>
      </c>
      <c r="Q128" s="4">
        <v>0</v>
      </c>
      <c r="R128" s="4">
        <v>0</v>
      </c>
      <c r="S128" s="4">
        <v>0</v>
      </c>
      <c r="T128" s="4">
        <v>0</v>
      </c>
      <c r="U128" s="4">
        <v>0</v>
      </c>
      <c r="V128" s="4">
        <v>0</v>
      </c>
      <c r="W128" s="4">
        <v>0</v>
      </c>
      <c r="X128" s="4">
        <v>0</v>
      </c>
      <c r="Y128" s="4">
        <v>0</v>
      </c>
    </row>
    <row r="129" spans="4:25" x14ac:dyDescent="0.45">
      <c r="D129" s="17">
        <f>IF(SUM(F129:K130)&gt;0,D127+1,"")</f>
        <v>61</v>
      </c>
      <c r="E129" s="15" t="s">
        <v>13</v>
      </c>
      <c r="F129" s="4">
        <v>13</v>
      </c>
      <c r="G129" s="4">
        <v>14</v>
      </c>
      <c r="H129" s="4">
        <v>15</v>
      </c>
      <c r="I129" s="4">
        <v>18</v>
      </c>
      <c r="J129" s="4">
        <v>17</v>
      </c>
      <c r="K129" s="4">
        <v>20</v>
      </c>
      <c r="L129" s="4">
        <v>19</v>
      </c>
      <c r="M129" s="4">
        <v>16</v>
      </c>
      <c r="N129" s="4">
        <v>0</v>
      </c>
      <c r="O129" s="4">
        <v>0</v>
      </c>
      <c r="P129" s="4">
        <v>0</v>
      </c>
      <c r="Q129" s="4">
        <v>0</v>
      </c>
      <c r="R129" s="4">
        <v>0</v>
      </c>
      <c r="S129" s="4">
        <v>0</v>
      </c>
      <c r="T129" s="4">
        <v>0</v>
      </c>
      <c r="U129" s="4">
        <v>0</v>
      </c>
      <c r="V129" s="4">
        <v>0</v>
      </c>
      <c r="W129" s="4">
        <v>0</v>
      </c>
      <c r="X129" s="4">
        <v>0</v>
      </c>
      <c r="Y129" s="4">
        <v>0</v>
      </c>
    </row>
    <row r="130" spans="4:25" ht="16.3" thickBot="1" x14ac:dyDescent="0.5">
      <c r="D130" s="18"/>
      <c r="E130" s="16"/>
      <c r="F130" s="4">
        <v>12</v>
      </c>
      <c r="G130" s="4">
        <v>11</v>
      </c>
      <c r="H130" s="4">
        <v>10</v>
      </c>
      <c r="I130" s="4">
        <v>9</v>
      </c>
      <c r="J130" s="4">
        <v>8</v>
      </c>
      <c r="K130" s="4">
        <v>7</v>
      </c>
      <c r="L130" s="4">
        <v>6</v>
      </c>
      <c r="M130" s="4">
        <v>5</v>
      </c>
      <c r="N130" s="4">
        <v>4</v>
      </c>
      <c r="O130" s="4">
        <v>3</v>
      </c>
      <c r="P130" s="4">
        <v>2</v>
      </c>
      <c r="Q130" s="4">
        <v>1</v>
      </c>
      <c r="R130" s="4">
        <v>0</v>
      </c>
      <c r="S130" s="4">
        <v>0</v>
      </c>
      <c r="T130" s="4">
        <v>0</v>
      </c>
      <c r="U130" s="4">
        <v>0</v>
      </c>
      <c r="V130" s="4">
        <v>0</v>
      </c>
      <c r="W130" s="4">
        <v>0</v>
      </c>
      <c r="X130" s="4">
        <v>0</v>
      </c>
      <c r="Y130" s="4">
        <v>0</v>
      </c>
    </row>
    <row r="131" spans="4:25" x14ac:dyDescent="0.45">
      <c r="D131" s="17">
        <f>IF(SUM(F131:K132)&gt;0,D129+1,"")</f>
        <v>62</v>
      </c>
      <c r="E131" s="15" t="s">
        <v>13</v>
      </c>
      <c r="F131" s="4">
        <v>14</v>
      </c>
      <c r="G131" s="4">
        <v>15</v>
      </c>
      <c r="H131" s="4">
        <v>18</v>
      </c>
      <c r="I131" s="4">
        <v>17</v>
      </c>
      <c r="J131" s="4">
        <v>20</v>
      </c>
      <c r="K131" s="4">
        <v>19</v>
      </c>
      <c r="L131" s="4">
        <v>16</v>
      </c>
      <c r="M131" s="4">
        <v>0</v>
      </c>
      <c r="N131" s="4">
        <v>0</v>
      </c>
      <c r="O131" s="4">
        <v>0</v>
      </c>
      <c r="P131" s="4">
        <v>0</v>
      </c>
      <c r="Q131" s="4">
        <v>0</v>
      </c>
      <c r="R131" s="4">
        <v>0</v>
      </c>
      <c r="S131" s="4">
        <v>0</v>
      </c>
      <c r="T131" s="4">
        <v>0</v>
      </c>
      <c r="U131" s="4">
        <v>0</v>
      </c>
      <c r="V131" s="4">
        <v>0</v>
      </c>
      <c r="W131" s="4">
        <v>0</v>
      </c>
      <c r="X131" s="4">
        <v>0</v>
      </c>
      <c r="Y131" s="4">
        <v>0</v>
      </c>
    </row>
    <row r="132" spans="4:25" ht="16.3" thickBot="1" x14ac:dyDescent="0.5">
      <c r="D132" s="18"/>
      <c r="E132" s="16"/>
      <c r="F132" s="4">
        <v>13</v>
      </c>
      <c r="G132" s="4">
        <v>12</v>
      </c>
      <c r="H132" s="4">
        <v>11</v>
      </c>
      <c r="I132" s="4">
        <v>10</v>
      </c>
      <c r="J132" s="4">
        <v>9</v>
      </c>
      <c r="K132" s="4">
        <v>8</v>
      </c>
      <c r="L132" s="4">
        <v>7</v>
      </c>
      <c r="M132" s="4">
        <v>6</v>
      </c>
      <c r="N132" s="4">
        <v>5</v>
      </c>
      <c r="O132" s="4">
        <v>4</v>
      </c>
      <c r="P132" s="4">
        <v>3</v>
      </c>
      <c r="Q132" s="4">
        <v>2</v>
      </c>
      <c r="R132" s="4">
        <v>1</v>
      </c>
      <c r="S132" s="4">
        <v>0</v>
      </c>
      <c r="T132" s="4">
        <v>0</v>
      </c>
      <c r="U132" s="4">
        <v>0</v>
      </c>
      <c r="V132" s="4">
        <v>0</v>
      </c>
      <c r="W132" s="4">
        <v>0</v>
      </c>
      <c r="X132" s="4">
        <v>0</v>
      </c>
      <c r="Y132" s="4">
        <v>0</v>
      </c>
    </row>
    <row r="133" spans="4:25" x14ac:dyDescent="0.45">
      <c r="D133" s="17">
        <f>IF(SUM(F133:K134)&gt;0,D131+1,"")</f>
        <v>63</v>
      </c>
      <c r="E133" s="15" t="s">
        <v>13</v>
      </c>
      <c r="F133" s="4">
        <v>15</v>
      </c>
      <c r="G133" s="4">
        <v>18</v>
      </c>
      <c r="H133" s="4">
        <v>17</v>
      </c>
      <c r="I133" s="4">
        <v>20</v>
      </c>
      <c r="J133" s="4">
        <v>19</v>
      </c>
      <c r="K133" s="4">
        <v>16</v>
      </c>
      <c r="L133" s="4">
        <v>0</v>
      </c>
      <c r="M133" s="4">
        <v>0</v>
      </c>
      <c r="N133" s="4">
        <v>0</v>
      </c>
      <c r="O133" s="4">
        <v>0</v>
      </c>
      <c r="P133" s="4">
        <v>0</v>
      </c>
      <c r="Q133" s="4">
        <v>0</v>
      </c>
      <c r="R133" s="4">
        <v>0</v>
      </c>
      <c r="S133" s="4">
        <v>0</v>
      </c>
      <c r="T133" s="4">
        <v>0</v>
      </c>
      <c r="U133" s="4">
        <v>0</v>
      </c>
      <c r="V133" s="4">
        <v>0</v>
      </c>
      <c r="W133" s="4">
        <v>0</v>
      </c>
      <c r="X133" s="4">
        <v>0</v>
      </c>
      <c r="Y133" s="4">
        <v>0</v>
      </c>
    </row>
    <row r="134" spans="4:25" ht="16.3" thickBot="1" x14ac:dyDescent="0.5">
      <c r="D134" s="18"/>
      <c r="E134" s="16"/>
      <c r="F134" s="4">
        <v>14</v>
      </c>
      <c r="G134" s="4">
        <v>13</v>
      </c>
      <c r="H134" s="4">
        <v>12</v>
      </c>
      <c r="I134" s="4">
        <v>11</v>
      </c>
      <c r="J134" s="4">
        <v>10</v>
      </c>
      <c r="K134" s="4">
        <v>9</v>
      </c>
      <c r="L134" s="4">
        <v>8</v>
      </c>
      <c r="M134" s="4">
        <v>7</v>
      </c>
      <c r="N134" s="4">
        <v>6</v>
      </c>
      <c r="O134" s="4">
        <v>5</v>
      </c>
      <c r="P134" s="4">
        <v>4</v>
      </c>
      <c r="Q134" s="4">
        <v>3</v>
      </c>
      <c r="R134" s="4">
        <v>2</v>
      </c>
      <c r="S134" s="4">
        <v>1</v>
      </c>
      <c r="T134" s="4">
        <v>0</v>
      </c>
      <c r="U134" s="4">
        <v>0</v>
      </c>
      <c r="V134" s="4">
        <v>0</v>
      </c>
      <c r="W134" s="4">
        <v>0</v>
      </c>
      <c r="X134" s="4">
        <v>0</v>
      </c>
      <c r="Y134" s="4">
        <v>0</v>
      </c>
    </row>
    <row r="135" spans="4:25" x14ac:dyDescent="0.45">
      <c r="D135" s="17">
        <f>IF(SUM(F135:K136)&gt;0,D133+1,"")</f>
        <v>64</v>
      </c>
      <c r="E135" s="15" t="s">
        <v>13</v>
      </c>
      <c r="F135" s="7">
        <v>18</v>
      </c>
      <c r="G135" s="7">
        <v>17</v>
      </c>
      <c r="H135" s="7">
        <v>20</v>
      </c>
      <c r="I135" s="7">
        <v>19</v>
      </c>
      <c r="J135" s="7">
        <v>16</v>
      </c>
      <c r="K135" s="4">
        <v>0</v>
      </c>
      <c r="L135" s="4">
        <v>0</v>
      </c>
      <c r="M135" s="4">
        <v>0</v>
      </c>
      <c r="N135" s="4">
        <v>0</v>
      </c>
      <c r="O135" s="4">
        <v>0</v>
      </c>
      <c r="P135" s="4">
        <v>0</v>
      </c>
      <c r="Q135" s="4">
        <v>0</v>
      </c>
      <c r="R135" s="4">
        <v>0</v>
      </c>
      <c r="S135" s="4">
        <v>0</v>
      </c>
      <c r="T135" s="4">
        <v>0</v>
      </c>
      <c r="U135" s="4">
        <v>0</v>
      </c>
      <c r="V135" s="4">
        <v>0</v>
      </c>
      <c r="W135" s="4">
        <v>0</v>
      </c>
      <c r="X135" s="4">
        <v>0</v>
      </c>
      <c r="Y135" s="4">
        <v>0</v>
      </c>
    </row>
    <row r="136" spans="4:25" ht="16.3" thickBot="1" x14ac:dyDescent="0.5">
      <c r="D136" s="18"/>
      <c r="E136" s="16"/>
      <c r="F136" s="4">
        <v>15</v>
      </c>
      <c r="G136" s="4">
        <v>14</v>
      </c>
      <c r="H136" s="4">
        <v>13</v>
      </c>
      <c r="I136" s="4">
        <v>12</v>
      </c>
      <c r="J136" s="4">
        <v>11</v>
      </c>
      <c r="K136" s="4">
        <v>10</v>
      </c>
      <c r="L136" s="4">
        <v>9</v>
      </c>
      <c r="M136" s="4">
        <v>8</v>
      </c>
      <c r="N136" s="4">
        <v>7</v>
      </c>
      <c r="O136" s="4">
        <v>6</v>
      </c>
      <c r="P136" s="4">
        <v>5</v>
      </c>
      <c r="Q136" s="4">
        <v>4</v>
      </c>
      <c r="R136" s="4">
        <v>3</v>
      </c>
      <c r="S136" s="4">
        <v>2</v>
      </c>
      <c r="T136" s="4">
        <v>1</v>
      </c>
      <c r="U136" s="4">
        <v>0</v>
      </c>
      <c r="V136" s="4">
        <v>0</v>
      </c>
      <c r="W136" s="4">
        <v>0</v>
      </c>
      <c r="X136" s="4">
        <v>0</v>
      </c>
      <c r="Y136" s="4">
        <v>0</v>
      </c>
    </row>
    <row r="137" spans="4:25" x14ac:dyDescent="0.45">
      <c r="D137" s="17">
        <f>IF(SUM(F137:K138)&gt;0,D135+1,"")</f>
        <v>65</v>
      </c>
      <c r="E137" s="15" t="s">
        <v>19</v>
      </c>
      <c r="F137" s="6">
        <v>16</v>
      </c>
      <c r="G137" s="4">
        <v>18</v>
      </c>
      <c r="H137" s="4">
        <v>17</v>
      </c>
      <c r="I137" s="4">
        <v>20</v>
      </c>
      <c r="J137" s="4">
        <v>19</v>
      </c>
      <c r="K137" s="4">
        <v>0</v>
      </c>
      <c r="L137" s="4">
        <v>0</v>
      </c>
      <c r="M137" s="4">
        <v>0</v>
      </c>
      <c r="N137" s="4">
        <v>0</v>
      </c>
      <c r="O137" s="4">
        <v>0</v>
      </c>
      <c r="P137" s="4">
        <v>0</v>
      </c>
      <c r="Q137" s="4">
        <v>0</v>
      </c>
      <c r="R137" s="4">
        <v>0</v>
      </c>
      <c r="S137" s="4">
        <v>0</v>
      </c>
      <c r="T137" s="4">
        <v>0</v>
      </c>
      <c r="U137" s="4">
        <v>0</v>
      </c>
      <c r="V137" s="4">
        <v>0</v>
      </c>
      <c r="W137" s="4">
        <v>0</v>
      </c>
      <c r="X137" s="4">
        <v>0</v>
      </c>
      <c r="Y137" s="4">
        <v>0</v>
      </c>
    </row>
    <row r="138" spans="4:25" ht="16.3" thickBot="1" x14ac:dyDescent="0.5">
      <c r="D138" s="18"/>
      <c r="E138" s="16"/>
      <c r="F138" s="4">
        <v>15</v>
      </c>
      <c r="G138" s="4">
        <v>14</v>
      </c>
      <c r="H138" s="4">
        <v>13</v>
      </c>
      <c r="I138" s="4">
        <v>12</v>
      </c>
      <c r="J138" s="4">
        <v>11</v>
      </c>
      <c r="K138" s="4">
        <v>10</v>
      </c>
      <c r="L138" s="4">
        <v>9</v>
      </c>
      <c r="M138" s="4">
        <v>8</v>
      </c>
      <c r="N138" s="4">
        <v>7</v>
      </c>
      <c r="O138" s="4">
        <v>6</v>
      </c>
      <c r="P138" s="4">
        <v>5</v>
      </c>
      <c r="Q138" s="4">
        <v>4</v>
      </c>
      <c r="R138" s="4">
        <v>3</v>
      </c>
      <c r="S138" s="4">
        <v>2</v>
      </c>
      <c r="T138" s="4">
        <v>1</v>
      </c>
      <c r="U138" s="4">
        <v>0</v>
      </c>
      <c r="V138" s="4">
        <v>0</v>
      </c>
      <c r="W138" s="4">
        <v>0</v>
      </c>
      <c r="X138" s="4">
        <v>0</v>
      </c>
      <c r="Y138" s="4">
        <v>0</v>
      </c>
    </row>
    <row r="139" spans="4:25" x14ac:dyDescent="0.45">
      <c r="D139" s="17">
        <f>IF(SUM(F139:K140)&gt;0,D137+1,"")</f>
        <v>66</v>
      </c>
      <c r="E139" s="15" t="s">
        <v>13</v>
      </c>
      <c r="F139" s="4">
        <v>18</v>
      </c>
      <c r="G139" s="4">
        <v>17</v>
      </c>
      <c r="H139" s="4">
        <v>20</v>
      </c>
      <c r="I139" s="4">
        <v>19</v>
      </c>
      <c r="J139" s="4">
        <v>0</v>
      </c>
      <c r="K139" s="4">
        <v>0</v>
      </c>
      <c r="L139" s="4">
        <v>0</v>
      </c>
      <c r="M139" s="4">
        <v>0</v>
      </c>
      <c r="N139" s="4">
        <v>0</v>
      </c>
      <c r="O139" s="4">
        <v>0</v>
      </c>
      <c r="P139" s="4">
        <v>0</v>
      </c>
      <c r="Q139" s="4">
        <v>0</v>
      </c>
      <c r="R139" s="4">
        <v>0</v>
      </c>
      <c r="S139" s="4">
        <v>0</v>
      </c>
      <c r="T139" s="4">
        <v>0</v>
      </c>
      <c r="U139" s="4">
        <v>0</v>
      </c>
      <c r="V139" s="4">
        <v>0</v>
      </c>
      <c r="W139" s="4">
        <v>0</v>
      </c>
      <c r="X139" s="4">
        <v>0</v>
      </c>
      <c r="Y139" s="4">
        <v>0</v>
      </c>
    </row>
    <row r="140" spans="4:25" ht="16.3" thickBot="1" x14ac:dyDescent="0.5">
      <c r="D140" s="18"/>
      <c r="E140" s="16"/>
      <c r="F140" s="6">
        <v>16</v>
      </c>
      <c r="G140" s="4">
        <v>15</v>
      </c>
      <c r="H140" s="4">
        <v>14</v>
      </c>
      <c r="I140" s="4">
        <v>13</v>
      </c>
      <c r="J140" s="4">
        <v>12</v>
      </c>
      <c r="K140" s="4">
        <v>11</v>
      </c>
      <c r="L140" s="4">
        <v>10</v>
      </c>
      <c r="M140" s="4">
        <v>9</v>
      </c>
      <c r="N140" s="4">
        <v>8</v>
      </c>
      <c r="O140" s="4">
        <v>7</v>
      </c>
      <c r="P140" s="4">
        <v>6</v>
      </c>
      <c r="Q140" s="4">
        <v>5</v>
      </c>
      <c r="R140" s="4">
        <v>4</v>
      </c>
      <c r="S140" s="4">
        <v>3</v>
      </c>
      <c r="T140" s="4">
        <v>2</v>
      </c>
      <c r="U140" s="4">
        <v>1</v>
      </c>
      <c r="V140" s="4">
        <v>0</v>
      </c>
      <c r="W140" s="4">
        <v>0</v>
      </c>
      <c r="X140" s="4">
        <v>0</v>
      </c>
      <c r="Y140" s="4">
        <v>0</v>
      </c>
    </row>
    <row r="141" spans="4:25" x14ac:dyDescent="0.45">
      <c r="D141" s="17">
        <f>IF(SUM(F141:K142)&gt;0,D139+1,"")</f>
        <v>67</v>
      </c>
      <c r="E141" s="15" t="s">
        <v>12</v>
      </c>
      <c r="F141" s="4">
        <v>17</v>
      </c>
      <c r="G141" s="4">
        <v>20</v>
      </c>
      <c r="H141" s="4">
        <v>19</v>
      </c>
      <c r="I141" s="4">
        <v>18</v>
      </c>
      <c r="J141" s="4">
        <v>0</v>
      </c>
      <c r="K141" s="4">
        <v>0</v>
      </c>
      <c r="L141" s="4">
        <v>0</v>
      </c>
      <c r="M141" s="4">
        <v>0</v>
      </c>
      <c r="N141" s="4">
        <v>0</v>
      </c>
      <c r="O141" s="4">
        <v>0</v>
      </c>
      <c r="P141" s="4">
        <v>0</v>
      </c>
      <c r="Q141" s="4">
        <v>0</v>
      </c>
      <c r="R141" s="4">
        <v>0</v>
      </c>
      <c r="S141" s="4">
        <v>0</v>
      </c>
      <c r="T141" s="4">
        <v>0</v>
      </c>
      <c r="U141" s="4">
        <v>0</v>
      </c>
      <c r="V141" s="4">
        <v>0</v>
      </c>
      <c r="W141" s="4">
        <v>0</v>
      </c>
      <c r="X141" s="4">
        <v>0</v>
      </c>
      <c r="Y141" s="4">
        <v>0</v>
      </c>
    </row>
    <row r="142" spans="4:25" ht="16.3" thickBot="1" x14ac:dyDescent="0.5">
      <c r="D142" s="18"/>
      <c r="E142" s="16"/>
      <c r="F142" s="4">
        <v>16</v>
      </c>
      <c r="G142" s="4">
        <v>15</v>
      </c>
      <c r="H142" s="4">
        <v>14</v>
      </c>
      <c r="I142" s="4">
        <v>13</v>
      </c>
      <c r="J142" s="4">
        <v>12</v>
      </c>
      <c r="K142" s="4">
        <v>11</v>
      </c>
      <c r="L142" s="4">
        <v>10</v>
      </c>
      <c r="M142" s="4">
        <v>9</v>
      </c>
      <c r="N142" s="4">
        <v>8</v>
      </c>
      <c r="O142" s="4">
        <v>7</v>
      </c>
      <c r="P142" s="4">
        <v>6</v>
      </c>
      <c r="Q142" s="4">
        <v>5</v>
      </c>
      <c r="R142" s="4">
        <v>4</v>
      </c>
      <c r="S142" s="4">
        <v>3</v>
      </c>
      <c r="T142" s="4">
        <v>2</v>
      </c>
      <c r="U142" s="4">
        <v>1</v>
      </c>
      <c r="V142" s="4">
        <v>0</v>
      </c>
      <c r="W142" s="4">
        <v>0</v>
      </c>
      <c r="X142" s="4">
        <v>0</v>
      </c>
      <c r="Y142" s="4">
        <v>0</v>
      </c>
    </row>
    <row r="143" spans="4:25" x14ac:dyDescent="0.45">
      <c r="D143" s="17">
        <f>IF(SUM(F143:K144)&gt;0,D141+1,"")</f>
        <v>68</v>
      </c>
      <c r="E143" s="15" t="s">
        <v>13</v>
      </c>
      <c r="F143" s="4">
        <v>20</v>
      </c>
      <c r="G143" s="4">
        <v>19</v>
      </c>
      <c r="H143" s="4">
        <v>18</v>
      </c>
      <c r="I143" s="4">
        <v>0</v>
      </c>
      <c r="J143" s="4">
        <v>0</v>
      </c>
      <c r="K143" s="4">
        <v>0</v>
      </c>
      <c r="L143" s="4">
        <v>0</v>
      </c>
      <c r="M143" s="4">
        <v>0</v>
      </c>
      <c r="N143" s="4">
        <v>0</v>
      </c>
      <c r="O143" s="4">
        <v>0</v>
      </c>
      <c r="P143" s="4">
        <v>0</v>
      </c>
      <c r="Q143" s="4">
        <v>0</v>
      </c>
      <c r="R143" s="4">
        <v>0</v>
      </c>
      <c r="S143" s="4">
        <v>0</v>
      </c>
      <c r="T143" s="4">
        <v>0</v>
      </c>
      <c r="U143" s="4">
        <v>0</v>
      </c>
      <c r="V143" s="4">
        <v>0</v>
      </c>
      <c r="W143" s="4">
        <v>0</v>
      </c>
      <c r="X143" s="4">
        <v>0</v>
      </c>
      <c r="Y143" s="4">
        <v>0</v>
      </c>
    </row>
    <row r="144" spans="4:25" ht="16.3" thickBot="1" x14ac:dyDescent="0.5">
      <c r="D144" s="18"/>
      <c r="E144" s="16"/>
      <c r="F144" s="4">
        <v>17</v>
      </c>
      <c r="G144" s="4">
        <v>16</v>
      </c>
      <c r="H144" s="4">
        <v>15</v>
      </c>
      <c r="I144" s="4">
        <v>14</v>
      </c>
      <c r="J144" s="4">
        <v>13</v>
      </c>
      <c r="K144" s="4">
        <v>12</v>
      </c>
      <c r="L144" s="4">
        <v>11</v>
      </c>
      <c r="M144" s="4">
        <v>10</v>
      </c>
      <c r="N144" s="4">
        <v>9</v>
      </c>
      <c r="O144" s="4">
        <v>8</v>
      </c>
      <c r="P144" s="4">
        <v>7</v>
      </c>
      <c r="Q144" s="4">
        <v>6</v>
      </c>
      <c r="R144" s="4">
        <v>5</v>
      </c>
      <c r="S144" s="4">
        <v>4</v>
      </c>
      <c r="T144" s="4">
        <v>3</v>
      </c>
      <c r="U144" s="4">
        <v>2</v>
      </c>
      <c r="V144" s="4">
        <v>1</v>
      </c>
      <c r="W144" s="4">
        <v>0</v>
      </c>
      <c r="X144" s="4">
        <v>0</v>
      </c>
      <c r="Y144" s="4">
        <v>0</v>
      </c>
    </row>
    <row r="145" spans="4:25" x14ac:dyDescent="0.45">
      <c r="D145" s="17">
        <f>IF(SUM(F145:K146)&gt;0,D143+1,"")</f>
        <v>69</v>
      </c>
      <c r="E145" s="15" t="s">
        <v>19</v>
      </c>
      <c r="F145" s="4">
        <v>18</v>
      </c>
      <c r="G145" s="4">
        <v>20</v>
      </c>
      <c r="H145" s="4">
        <v>19</v>
      </c>
      <c r="I145" s="4">
        <v>0</v>
      </c>
      <c r="J145" s="4">
        <v>0</v>
      </c>
      <c r="K145" s="4">
        <v>0</v>
      </c>
      <c r="L145" s="4">
        <v>0</v>
      </c>
      <c r="M145" s="4">
        <v>0</v>
      </c>
      <c r="N145" s="4">
        <v>0</v>
      </c>
      <c r="O145" s="4">
        <v>0</v>
      </c>
      <c r="P145" s="4">
        <v>0</v>
      </c>
      <c r="Q145" s="4">
        <v>0</v>
      </c>
      <c r="R145" s="4">
        <v>0</v>
      </c>
      <c r="S145" s="4">
        <v>0</v>
      </c>
      <c r="T145" s="4">
        <v>0</v>
      </c>
      <c r="U145" s="4">
        <v>0</v>
      </c>
      <c r="V145" s="4">
        <v>0</v>
      </c>
      <c r="W145" s="4">
        <v>0</v>
      </c>
      <c r="X145" s="4">
        <v>0</v>
      </c>
      <c r="Y145" s="4">
        <v>0</v>
      </c>
    </row>
    <row r="146" spans="4:25" ht="16.3" thickBot="1" x14ac:dyDescent="0.5">
      <c r="D146" s="18"/>
      <c r="E146" s="16"/>
      <c r="F146" s="4">
        <v>17</v>
      </c>
      <c r="G146" s="4">
        <v>16</v>
      </c>
      <c r="H146" s="4">
        <v>15</v>
      </c>
      <c r="I146" s="4">
        <v>14</v>
      </c>
      <c r="J146" s="4">
        <v>13</v>
      </c>
      <c r="K146" s="4">
        <v>12</v>
      </c>
      <c r="L146" s="4">
        <v>11</v>
      </c>
      <c r="M146" s="4">
        <v>10</v>
      </c>
      <c r="N146" s="4">
        <v>9</v>
      </c>
      <c r="O146" s="4">
        <v>8</v>
      </c>
      <c r="P146" s="4">
        <v>7</v>
      </c>
      <c r="Q146" s="4">
        <v>6</v>
      </c>
      <c r="R146" s="4">
        <v>5</v>
      </c>
      <c r="S146" s="4">
        <v>4</v>
      </c>
      <c r="T146" s="4">
        <v>3</v>
      </c>
      <c r="U146" s="4">
        <v>2</v>
      </c>
      <c r="V146" s="4">
        <v>1</v>
      </c>
      <c r="W146" s="4">
        <v>0</v>
      </c>
      <c r="X146" s="4">
        <v>0</v>
      </c>
      <c r="Y146" s="4">
        <v>0</v>
      </c>
    </row>
    <row r="147" spans="4:25" x14ac:dyDescent="0.45">
      <c r="D147" s="17">
        <f>IF(SUM(F147:K148)&gt;0,D145+1,"")</f>
        <v>70</v>
      </c>
      <c r="E147" s="15" t="s">
        <v>13</v>
      </c>
      <c r="F147" s="4">
        <v>20</v>
      </c>
      <c r="G147" s="4">
        <v>19</v>
      </c>
      <c r="H147" s="4">
        <v>0</v>
      </c>
      <c r="I147" s="4">
        <v>0</v>
      </c>
      <c r="J147" s="4">
        <v>0</v>
      </c>
      <c r="K147" s="4">
        <v>0</v>
      </c>
      <c r="L147" s="4">
        <v>0</v>
      </c>
      <c r="M147" s="4">
        <v>0</v>
      </c>
      <c r="N147" s="4">
        <v>0</v>
      </c>
      <c r="O147" s="4">
        <v>0</v>
      </c>
      <c r="P147" s="4">
        <v>0</v>
      </c>
      <c r="Q147" s="4">
        <v>0</v>
      </c>
      <c r="R147" s="4">
        <v>0</v>
      </c>
      <c r="S147" s="4">
        <v>0</v>
      </c>
      <c r="T147" s="4">
        <v>0</v>
      </c>
      <c r="U147" s="4">
        <v>0</v>
      </c>
      <c r="V147" s="4">
        <v>0</v>
      </c>
      <c r="W147" s="4">
        <v>0</v>
      </c>
      <c r="X147" s="4">
        <v>0</v>
      </c>
      <c r="Y147" s="4">
        <v>0</v>
      </c>
    </row>
    <row r="148" spans="4:25" ht="16.3" thickBot="1" x14ac:dyDescent="0.5">
      <c r="D148" s="18"/>
      <c r="E148" s="16"/>
      <c r="F148" s="4">
        <v>18</v>
      </c>
      <c r="G148" s="4">
        <v>17</v>
      </c>
      <c r="H148" s="4">
        <v>16</v>
      </c>
      <c r="I148" s="4">
        <v>15</v>
      </c>
      <c r="J148" s="4">
        <v>14</v>
      </c>
      <c r="K148" s="4">
        <v>13</v>
      </c>
      <c r="L148" s="4">
        <v>12</v>
      </c>
      <c r="M148" s="4">
        <v>11</v>
      </c>
      <c r="N148" s="4">
        <v>10</v>
      </c>
      <c r="O148" s="4">
        <v>9</v>
      </c>
      <c r="P148" s="4">
        <v>8</v>
      </c>
      <c r="Q148" s="4">
        <v>7</v>
      </c>
      <c r="R148" s="4">
        <v>6</v>
      </c>
      <c r="S148" s="4">
        <v>5</v>
      </c>
      <c r="T148" s="4">
        <v>4</v>
      </c>
      <c r="U148" s="4">
        <v>3</v>
      </c>
      <c r="V148" s="4">
        <v>2</v>
      </c>
      <c r="W148" s="4">
        <v>1</v>
      </c>
      <c r="X148" s="4">
        <v>0</v>
      </c>
      <c r="Y148" s="4">
        <v>0</v>
      </c>
    </row>
    <row r="149" spans="4:25" x14ac:dyDescent="0.45">
      <c r="D149" s="17">
        <f>IF(SUM(F149:K150)&gt;0,D147+1,"")</f>
        <v>71</v>
      </c>
      <c r="E149" s="15" t="s">
        <v>18</v>
      </c>
      <c r="F149" s="4">
        <v>19</v>
      </c>
      <c r="G149" s="4">
        <v>20</v>
      </c>
      <c r="H149" s="4">
        <v>0</v>
      </c>
      <c r="I149" s="4">
        <v>0</v>
      </c>
      <c r="J149" s="4">
        <v>0</v>
      </c>
      <c r="K149" s="4">
        <v>0</v>
      </c>
      <c r="L149" s="4">
        <v>0</v>
      </c>
      <c r="M149" s="4">
        <v>0</v>
      </c>
      <c r="N149" s="4">
        <v>0</v>
      </c>
      <c r="O149" s="4">
        <v>0</v>
      </c>
      <c r="P149" s="4">
        <v>0</v>
      </c>
      <c r="Q149" s="4">
        <v>0</v>
      </c>
      <c r="R149" s="4">
        <v>0</v>
      </c>
      <c r="S149" s="4">
        <v>0</v>
      </c>
      <c r="T149" s="4">
        <v>0</v>
      </c>
      <c r="U149" s="4">
        <v>0</v>
      </c>
      <c r="V149" s="4">
        <v>0</v>
      </c>
      <c r="W149" s="4">
        <v>0</v>
      </c>
      <c r="X149" s="4">
        <v>0</v>
      </c>
      <c r="Y149" s="4">
        <v>0</v>
      </c>
    </row>
    <row r="150" spans="4:25" ht="16.3" thickBot="1" x14ac:dyDescent="0.5">
      <c r="D150" s="18"/>
      <c r="E150" s="16"/>
      <c r="F150" s="4">
        <v>18</v>
      </c>
      <c r="G150" s="4">
        <v>17</v>
      </c>
      <c r="H150" s="4">
        <v>16</v>
      </c>
      <c r="I150" s="4">
        <v>15</v>
      </c>
      <c r="J150" s="4">
        <v>14</v>
      </c>
      <c r="K150" s="4">
        <v>13</v>
      </c>
      <c r="L150" s="4">
        <v>12</v>
      </c>
      <c r="M150" s="4">
        <v>11</v>
      </c>
      <c r="N150" s="4">
        <v>10</v>
      </c>
      <c r="O150" s="4">
        <v>9</v>
      </c>
      <c r="P150" s="4">
        <v>8</v>
      </c>
      <c r="Q150" s="4">
        <v>7</v>
      </c>
      <c r="R150" s="4">
        <v>6</v>
      </c>
      <c r="S150" s="4">
        <v>5</v>
      </c>
      <c r="T150" s="4">
        <v>4</v>
      </c>
      <c r="U150" s="4">
        <v>3</v>
      </c>
      <c r="V150" s="4">
        <v>2</v>
      </c>
      <c r="W150" s="4">
        <v>1</v>
      </c>
      <c r="X150" s="4">
        <v>0</v>
      </c>
      <c r="Y150" s="4">
        <v>0</v>
      </c>
    </row>
    <row r="151" spans="4:25" x14ac:dyDescent="0.45">
      <c r="D151" s="17">
        <f>IF(SUM(F151:K152)&gt;0,D149+1,"")</f>
        <v>72</v>
      </c>
      <c r="E151" s="15" t="s">
        <v>15</v>
      </c>
      <c r="F151" s="4">
        <v>18</v>
      </c>
      <c r="G151" s="4">
        <v>19</v>
      </c>
      <c r="H151" s="4">
        <v>20</v>
      </c>
      <c r="I151" s="4">
        <v>0</v>
      </c>
      <c r="J151" s="4">
        <v>0</v>
      </c>
      <c r="K151" s="4">
        <v>0</v>
      </c>
      <c r="L151" s="4">
        <v>0</v>
      </c>
      <c r="M151" s="4">
        <v>0</v>
      </c>
      <c r="N151" s="4">
        <v>0</v>
      </c>
      <c r="O151" s="4">
        <v>0</v>
      </c>
      <c r="P151" s="4">
        <v>0</v>
      </c>
      <c r="Q151" s="4">
        <v>0</v>
      </c>
      <c r="R151" s="4">
        <v>0</v>
      </c>
      <c r="S151" s="4">
        <v>0</v>
      </c>
      <c r="T151" s="4">
        <v>0</v>
      </c>
      <c r="U151" s="4">
        <v>0</v>
      </c>
      <c r="V151" s="4">
        <v>0</v>
      </c>
      <c r="W151" s="4">
        <v>0</v>
      </c>
      <c r="X151" s="4">
        <v>0</v>
      </c>
      <c r="Y151" s="4">
        <v>0</v>
      </c>
    </row>
    <row r="152" spans="4:25" ht="16.3" thickBot="1" x14ac:dyDescent="0.5">
      <c r="D152" s="18"/>
      <c r="E152" s="16"/>
      <c r="F152" s="4">
        <v>17</v>
      </c>
      <c r="G152" s="4">
        <v>16</v>
      </c>
      <c r="H152" s="4">
        <v>15</v>
      </c>
      <c r="I152" s="4">
        <v>14</v>
      </c>
      <c r="J152" s="4">
        <v>13</v>
      </c>
      <c r="K152" s="4">
        <v>12</v>
      </c>
      <c r="L152" s="4">
        <v>11</v>
      </c>
      <c r="M152" s="4">
        <v>10</v>
      </c>
      <c r="N152" s="4">
        <v>9</v>
      </c>
      <c r="O152" s="4">
        <v>8</v>
      </c>
      <c r="P152" s="4">
        <v>7</v>
      </c>
      <c r="Q152" s="4">
        <v>6</v>
      </c>
      <c r="R152" s="4">
        <v>5</v>
      </c>
      <c r="S152" s="4">
        <v>4</v>
      </c>
      <c r="T152" s="4">
        <v>3</v>
      </c>
      <c r="U152" s="4">
        <v>2</v>
      </c>
      <c r="V152" s="4">
        <v>1</v>
      </c>
      <c r="W152" s="4">
        <v>0</v>
      </c>
      <c r="X152" s="4">
        <v>0</v>
      </c>
      <c r="Y152" s="4">
        <v>0</v>
      </c>
    </row>
    <row r="153" spans="4:25" x14ac:dyDescent="0.45">
      <c r="D153" s="17">
        <f>IF(SUM(F153:K154)&gt;0,D151+1,"")</f>
        <v>73</v>
      </c>
      <c r="E153" s="15" t="s">
        <v>15</v>
      </c>
      <c r="F153" s="4">
        <v>17</v>
      </c>
      <c r="G153" s="4">
        <v>18</v>
      </c>
      <c r="H153" s="4">
        <v>19</v>
      </c>
      <c r="I153" s="4">
        <v>20</v>
      </c>
      <c r="J153" s="4">
        <v>0</v>
      </c>
      <c r="K153" s="4">
        <v>0</v>
      </c>
      <c r="L153" s="4">
        <v>0</v>
      </c>
      <c r="M153" s="4">
        <v>0</v>
      </c>
      <c r="N153" s="4">
        <v>0</v>
      </c>
      <c r="O153" s="4">
        <v>0</v>
      </c>
      <c r="P153" s="4">
        <v>0</v>
      </c>
      <c r="Q153" s="4">
        <v>0</v>
      </c>
      <c r="R153" s="4">
        <v>0</v>
      </c>
      <c r="S153" s="4">
        <v>0</v>
      </c>
      <c r="T153" s="4">
        <v>0</v>
      </c>
      <c r="U153" s="4">
        <v>0</v>
      </c>
      <c r="V153" s="4">
        <v>0</v>
      </c>
      <c r="W153" s="4">
        <v>0</v>
      </c>
      <c r="X153" s="4">
        <v>0</v>
      </c>
      <c r="Y153" s="4">
        <v>0</v>
      </c>
    </row>
    <row r="154" spans="4:25" ht="16.3" thickBot="1" x14ac:dyDescent="0.5">
      <c r="D154" s="18"/>
      <c r="E154" s="16"/>
      <c r="F154" s="4">
        <v>16</v>
      </c>
      <c r="G154" s="4">
        <v>15</v>
      </c>
      <c r="H154" s="4">
        <v>14</v>
      </c>
      <c r="I154" s="4">
        <v>13</v>
      </c>
      <c r="J154" s="4">
        <v>12</v>
      </c>
      <c r="K154" s="4">
        <v>11</v>
      </c>
      <c r="L154" s="4">
        <v>10</v>
      </c>
      <c r="M154" s="4">
        <v>9</v>
      </c>
      <c r="N154" s="4">
        <v>8</v>
      </c>
      <c r="O154" s="4">
        <v>7</v>
      </c>
      <c r="P154" s="4">
        <v>6</v>
      </c>
      <c r="Q154" s="4">
        <v>5</v>
      </c>
      <c r="R154" s="4">
        <v>4</v>
      </c>
      <c r="S154" s="4">
        <v>3</v>
      </c>
      <c r="T154" s="4">
        <v>2</v>
      </c>
      <c r="U154" s="4">
        <v>1</v>
      </c>
      <c r="V154" s="4">
        <v>0</v>
      </c>
      <c r="W154" s="4">
        <v>0</v>
      </c>
      <c r="X154" s="4">
        <v>0</v>
      </c>
      <c r="Y154" s="4">
        <v>0</v>
      </c>
    </row>
    <row r="155" spans="4:25" x14ac:dyDescent="0.45">
      <c r="D155" s="17">
        <f>IF(SUM(F155:K156)&gt;0,D153+1,"")</f>
        <v>74</v>
      </c>
      <c r="E155" s="15" t="s">
        <v>15</v>
      </c>
      <c r="F155" s="4">
        <v>16</v>
      </c>
      <c r="G155" s="4">
        <v>17</v>
      </c>
      <c r="H155" s="4">
        <v>18</v>
      </c>
      <c r="I155" s="4">
        <v>19</v>
      </c>
      <c r="J155" s="4">
        <v>20</v>
      </c>
      <c r="K155" s="4">
        <v>0</v>
      </c>
      <c r="L155" s="4">
        <v>0</v>
      </c>
      <c r="M155" s="4">
        <v>0</v>
      </c>
      <c r="N155" s="4">
        <v>0</v>
      </c>
      <c r="O155" s="4">
        <v>0</v>
      </c>
      <c r="P155" s="4">
        <v>0</v>
      </c>
      <c r="Q155" s="4">
        <v>0</v>
      </c>
      <c r="R155" s="4">
        <v>0</v>
      </c>
      <c r="S155" s="4">
        <v>0</v>
      </c>
      <c r="T155" s="4">
        <v>0</v>
      </c>
      <c r="U155" s="4">
        <v>0</v>
      </c>
      <c r="V155" s="4">
        <v>0</v>
      </c>
      <c r="W155" s="4">
        <v>0</v>
      </c>
      <c r="X155" s="4">
        <v>0</v>
      </c>
      <c r="Y155" s="4">
        <v>0</v>
      </c>
    </row>
    <row r="156" spans="4:25" ht="16.3" thickBot="1" x14ac:dyDescent="0.5">
      <c r="D156" s="18"/>
      <c r="E156" s="16"/>
      <c r="F156" s="4">
        <v>15</v>
      </c>
      <c r="G156" s="4">
        <v>14</v>
      </c>
      <c r="H156" s="4">
        <v>13</v>
      </c>
      <c r="I156" s="4">
        <v>12</v>
      </c>
      <c r="J156" s="4">
        <v>11</v>
      </c>
      <c r="K156" s="4">
        <v>10</v>
      </c>
      <c r="L156" s="4">
        <v>9</v>
      </c>
      <c r="M156" s="4">
        <v>8</v>
      </c>
      <c r="N156" s="4">
        <v>7</v>
      </c>
      <c r="O156" s="4">
        <v>6</v>
      </c>
      <c r="P156" s="4">
        <v>5</v>
      </c>
      <c r="Q156" s="4">
        <v>4</v>
      </c>
      <c r="R156" s="4">
        <v>3</v>
      </c>
      <c r="S156" s="4">
        <v>2</v>
      </c>
      <c r="T156" s="4">
        <v>1</v>
      </c>
      <c r="U156" s="4">
        <v>0</v>
      </c>
      <c r="V156" s="4">
        <v>0</v>
      </c>
      <c r="W156" s="4">
        <v>0</v>
      </c>
      <c r="X156" s="4">
        <v>0</v>
      </c>
      <c r="Y156" s="4">
        <v>0</v>
      </c>
    </row>
    <row r="157" spans="4:25" x14ac:dyDescent="0.45">
      <c r="D157" s="17">
        <f>IF(SUM(F157:K158)&gt;0,D155+1,"")</f>
        <v>75</v>
      </c>
      <c r="E157" s="15" t="s">
        <v>15</v>
      </c>
      <c r="F157" s="4">
        <v>15</v>
      </c>
      <c r="G157" s="4">
        <v>16</v>
      </c>
      <c r="H157" s="4">
        <v>17</v>
      </c>
      <c r="I157" s="4">
        <v>18</v>
      </c>
      <c r="J157" s="4">
        <v>19</v>
      </c>
      <c r="K157" s="4">
        <v>20</v>
      </c>
      <c r="L157" s="4">
        <v>0</v>
      </c>
      <c r="M157" s="4">
        <v>0</v>
      </c>
      <c r="N157" s="4">
        <v>0</v>
      </c>
      <c r="O157" s="4">
        <v>0</v>
      </c>
      <c r="P157" s="4">
        <v>0</v>
      </c>
      <c r="Q157" s="4">
        <v>0</v>
      </c>
      <c r="R157" s="4">
        <v>0</v>
      </c>
      <c r="S157" s="4">
        <v>0</v>
      </c>
      <c r="T157" s="4">
        <v>0</v>
      </c>
      <c r="U157" s="4">
        <v>0</v>
      </c>
      <c r="V157" s="4">
        <v>0</v>
      </c>
      <c r="W157" s="4">
        <v>0</v>
      </c>
      <c r="X157" s="4">
        <v>0</v>
      </c>
      <c r="Y157" s="4">
        <v>0</v>
      </c>
    </row>
    <row r="158" spans="4:25" ht="16.3" thickBot="1" x14ac:dyDescent="0.5">
      <c r="D158" s="18"/>
      <c r="E158" s="16"/>
      <c r="F158" s="4">
        <v>14</v>
      </c>
      <c r="G158" s="4">
        <v>13</v>
      </c>
      <c r="H158" s="4">
        <v>12</v>
      </c>
      <c r="I158" s="4">
        <v>11</v>
      </c>
      <c r="J158" s="4">
        <v>10</v>
      </c>
      <c r="K158" s="4">
        <v>9</v>
      </c>
      <c r="L158" s="4">
        <v>8</v>
      </c>
      <c r="M158" s="4">
        <v>7</v>
      </c>
      <c r="N158" s="4">
        <v>6</v>
      </c>
      <c r="O158" s="4">
        <v>5</v>
      </c>
      <c r="P158" s="4">
        <v>4</v>
      </c>
      <c r="Q158" s="4">
        <v>3</v>
      </c>
      <c r="R158" s="4">
        <v>2</v>
      </c>
      <c r="S158" s="4">
        <v>1</v>
      </c>
      <c r="T158" s="4">
        <v>0</v>
      </c>
      <c r="U158" s="4">
        <v>0</v>
      </c>
      <c r="V158" s="4">
        <v>0</v>
      </c>
      <c r="W158" s="4">
        <v>0</v>
      </c>
      <c r="X158" s="4">
        <v>0</v>
      </c>
      <c r="Y158" s="4">
        <v>0</v>
      </c>
    </row>
    <row r="159" spans="4:25" x14ac:dyDescent="0.45">
      <c r="D159" s="17">
        <f>IF(SUM(F159:K160)&gt;0,D157+1,"")</f>
        <v>76</v>
      </c>
      <c r="E159" s="15" t="s">
        <v>15</v>
      </c>
      <c r="F159" s="4">
        <v>14</v>
      </c>
      <c r="G159" s="4">
        <v>15</v>
      </c>
      <c r="H159" s="4">
        <v>16</v>
      </c>
      <c r="I159" s="4">
        <v>17</v>
      </c>
      <c r="J159" s="4">
        <v>18</v>
      </c>
      <c r="K159" s="4">
        <v>19</v>
      </c>
      <c r="L159" s="4">
        <v>20</v>
      </c>
      <c r="M159" s="4">
        <v>0</v>
      </c>
      <c r="N159" s="4">
        <v>0</v>
      </c>
      <c r="O159" s="4">
        <v>0</v>
      </c>
      <c r="P159" s="4">
        <v>0</v>
      </c>
      <c r="Q159" s="4">
        <v>0</v>
      </c>
      <c r="R159" s="4">
        <v>0</v>
      </c>
      <c r="S159" s="4">
        <v>0</v>
      </c>
      <c r="T159" s="4">
        <v>0</v>
      </c>
      <c r="U159" s="4">
        <v>0</v>
      </c>
      <c r="V159" s="4">
        <v>0</v>
      </c>
      <c r="W159" s="4">
        <v>0</v>
      </c>
      <c r="X159" s="4">
        <v>0</v>
      </c>
      <c r="Y159" s="4">
        <v>0</v>
      </c>
    </row>
    <row r="160" spans="4:25" ht="16.3" thickBot="1" x14ac:dyDescent="0.5">
      <c r="D160" s="18"/>
      <c r="E160" s="16"/>
      <c r="F160" s="4">
        <v>13</v>
      </c>
      <c r="G160" s="4">
        <v>12</v>
      </c>
      <c r="H160" s="4">
        <v>11</v>
      </c>
      <c r="I160" s="4">
        <v>10</v>
      </c>
      <c r="J160" s="4">
        <v>9</v>
      </c>
      <c r="K160" s="4">
        <v>8</v>
      </c>
      <c r="L160" s="4">
        <v>7</v>
      </c>
      <c r="M160" s="4">
        <v>6</v>
      </c>
      <c r="N160" s="4">
        <v>5</v>
      </c>
      <c r="O160" s="4">
        <v>4</v>
      </c>
      <c r="P160" s="4">
        <v>3</v>
      </c>
      <c r="Q160" s="4">
        <v>2</v>
      </c>
      <c r="R160" s="4">
        <v>1</v>
      </c>
      <c r="S160" s="4">
        <v>0</v>
      </c>
      <c r="T160" s="4">
        <v>0</v>
      </c>
      <c r="U160" s="4">
        <v>0</v>
      </c>
      <c r="V160" s="4">
        <v>0</v>
      </c>
      <c r="W160" s="4">
        <v>0</v>
      </c>
      <c r="X160" s="4">
        <v>0</v>
      </c>
      <c r="Y160" s="4">
        <v>0</v>
      </c>
    </row>
    <row r="161" spans="4:25" x14ac:dyDescent="0.45">
      <c r="D161" s="17">
        <f>IF(SUM(F161:K162)&gt;0,D159+1,"")</f>
        <v>77</v>
      </c>
      <c r="E161" s="15" t="s">
        <v>15</v>
      </c>
      <c r="F161" s="4">
        <v>13</v>
      </c>
      <c r="G161" s="4">
        <v>14</v>
      </c>
      <c r="H161" s="4">
        <v>15</v>
      </c>
      <c r="I161" s="4">
        <v>16</v>
      </c>
      <c r="J161" s="4">
        <v>17</v>
      </c>
      <c r="K161" s="4">
        <v>18</v>
      </c>
      <c r="L161" s="4">
        <v>19</v>
      </c>
      <c r="M161" s="4">
        <v>20</v>
      </c>
      <c r="N161" s="4">
        <v>0</v>
      </c>
      <c r="O161" s="4">
        <v>0</v>
      </c>
      <c r="P161" s="4">
        <v>0</v>
      </c>
      <c r="Q161" s="4">
        <v>0</v>
      </c>
      <c r="R161" s="4">
        <v>0</v>
      </c>
      <c r="S161" s="4">
        <v>0</v>
      </c>
      <c r="T161" s="4">
        <v>0</v>
      </c>
      <c r="U161" s="4">
        <v>0</v>
      </c>
      <c r="V161" s="4">
        <v>0</v>
      </c>
      <c r="W161" s="4">
        <v>0</v>
      </c>
      <c r="X161" s="4">
        <v>0</v>
      </c>
      <c r="Y161" s="4">
        <v>0</v>
      </c>
    </row>
    <row r="162" spans="4:25" ht="16.3" thickBot="1" x14ac:dyDescent="0.5">
      <c r="D162" s="18"/>
      <c r="E162" s="16"/>
      <c r="F162" s="4">
        <v>12</v>
      </c>
      <c r="G162" s="4">
        <v>11</v>
      </c>
      <c r="H162" s="4">
        <v>10</v>
      </c>
      <c r="I162" s="4">
        <v>9</v>
      </c>
      <c r="J162" s="4">
        <v>8</v>
      </c>
      <c r="K162" s="4">
        <v>7</v>
      </c>
      <c r="L162" s="4">
        <v>6</v>
      </c>
      <c r="M162" s="4">
        <v>5</v>
      </c>
      <c r="N162" s="4">
        <v>4</v>
      </c>
      <c r="O162" s="4">
        <v>3</v>
      </c>
      <c r="P162" s="4">
        <v>2</v>
      </c>
      <c r="Q162" s="4">
        <v>1</v>
      </c>
      <c r="R162" s="4">
        <v>0</v>
      </c>
      <c r="S162" s="4">
        <v>0</v>
      </c>
      <c r="T162" s="4">
        <v>0</v>
      </c>
      <c r="U162" s="4">
        <v>0</v>
      </c>
      <c r="V162" s="4">
        <v>0</v>
      </c>
      <c r="W162" s="4">
        <v>0</v>
      </c>
      <c r="X162" s="4">
        <v>0</v>
      </c>
      <c r="Y162" s="4">
        <v>0</v>
      </c>
    </row>
    <row r="163" spans="4:25" x14ac:dyDescent="0.45">
      <c r="D163" s="17">
        <f>IF(SUM(F163:K164)&gt;0,D161+1,"")</f>
        <v>78</v>
      </c>
      <c r="E163" s="15" t="s">
        <v>15</v>
      </c>
      <c r="F163" s="4">
        <v>12</v>
      </c>
      <c r="G163" s="4">
        <v>13</v>
      </c>
      <c r="H163" s="4">
        <v>14</v>
      </c>
      <c r="I163" s="4">
        <v>15</v>
      </c>
      <c r="J163" s="4">
        <v>16</v>
      </c>
      <c r="K163" s="4">
        <v>17</v>
      </c>
      <c r="L163" s="4">
        <v>18</v>
      </c>
      <c r="M163" s="4">
        <v>19</v>
      </c>
      <c r="N163" s="4">
        <v>20</v>
      </c>
      <c r="O163" s="4">
        <v>0</v>
      </c>
      <c r="P163" s="4">
        <v>0</v>
      </c>
      <c r="Q163" s="4">
        <v>0</v>
      </c>
      <c r="R163" s="4">
        <v>0</v>
      </c>
      <c r="S163" s="4">
        <v>0</v>
      </c>
      <c r="T163" s="4">
        <v>0</v>
      </c>
      <c r="U163" s="4">
        <v>0</v>
      </c>
      <c r="V163" s="4">
        <v>0</v>
      </c>
      <c r="W163" s="4">
        <v>0</v>
      </c>
      <c r="X163" s="4">
        <v>0</v>
      </c>
      <c r="Y163" s="4">
        <v>0</v>
      </c>
    </row>
    <row r="164" spans="4:25" ht="16.3" thickBot="1" x14ac:dyDescent="0.5">
      <c r="D164" s="18"/>
      <c r="E164" s="16"/>
      <c r="F164" s="4">
        <v>11</v>
      </c>
      <c r="G164" s="4">
        <v>10</v>
      </c>
      <c r="H164" s="4">
        <v>9</v>
      </c>
      <c r="I164" s="4">
        <v>8</v>
      </c>
      <c r="J164" s="4">
        <v>7</v>
      </c>
      <c r="K164" s="4">
        <v>6</v>
      </c>
      <c r="L164" s="4">
        <v>5</v>
      </c>
      <c r="M164" s="4">
        <v>4</v>
      </c>
      <c r="N164" s="4">
        <v>3</v>
      </c>
      <c r="O164" s="4">
        <v>2</v>
      </c>
      <c r="P164" s="4">
        <v>1</v>
      </c>
      <c r="Q164" s="4">
        <v>0</v>
      </c>
      <c r="R164" s="4">
        <v>0</v>
      </c>
      <c r="S164" s="4">
        <v>0</v>
      </c>
      <c r="T164" s="4">
        <v>0</v>
      </c>
      <c r="U164" s="4">
        <v>0</v>
      </c>
      <c r="V164" s="4">
        <v>0</v>
      </c>
      <c r="W164" s="4">
        <v>0</v>
      </c>
      <c r="X164" s="4">
        <v>0</v>
      </c>
      <c r="Y164" s="4">
        <v>0</v>
      </c>
    </row>
    <row r="165" spans="4:25" x14ac:dyDescent="0.45">
      <c r="D165" s="17">
        <f>IF(SUM(F165:K166)&gt;0,D163+1,"")</f>
        <v>79</v>
      </c>
      <c r="E165" s="15" t="s">
        <v>15</v>
      </c>
      <c r="F165" s="4">
        <v>11</v>
      </c>
      <c r="G165" s="4">
        <v>12</v>
      </c>
      <c r="H165" s="4">
        <v>13</v>
      </c>
      <c r="I165" s="4">
        <v>14</v>
      </c>
      <c r="J165" s="4">
        <v>15</v>
      </c>
      <c r="K165" s="4">
        <v>16</v>
      </c>
      <c r="L165" s="4">
        <v>17</v>
      </c>
      <c r="M165" s="4">
        <v>18</v>
      </c>
      <c r="N165" s="4">
        <v>19</v>
      </c>
      <c r="O165" s="4">
        <v>20</v>
      </c>
      <c r="P165" s="4">
        <v>0</v>
      </c>
      <c r="Q165" s="4">
        <v>0</v>
      </c>
      <c r="R165" s="4">
        <v>0</v>
      </c>
      <c r="S165" s="4">
        <v>0</v>
      </c>
      <c r="T165" s="4">
        <v>0</v>
      </c>
      <c r="U165" s="4">
        <v>0</v>
      </c>
      <c r="V165" s="4">
        <v>0</v>
      </c>
      <c r="W165" s="4">
        <v>0</v>
      </c>
      <c r="X165" s="4">
        <v>0</v>
      </c>
      <c r="Y165" s="4">
        <v>0</v>
      </c>
    </row>
    <row r="166" spans="4:25" ht="16.3" thickBot="1" x14ac:dyDescent="0.5">
      <c r="D166" s="18"/>
      <c r="E166" s="16"/>
      <c r="F166" s="4">
        <v>10</v>
      </c>
      <c r="G166" s="4">
        <v>9</v>
      </c>
      <c r="H166" s="4">
        <v>8</v>
      </c>
      <c r="I166" s="4">
        <v>7</v>
      </c>
      <c r="J166" s="4">
        <v>6</v>
      </c>
      <c r="K166" s="4">
        <v>5</v>
      </c>
      <c r="L166" s="4">
        <v>4</v>
      </c>
      <c r="M166" s="4">
        <v>3</v>
      </c>
      <c r="N166" s="4">
        <v>2</v>
      </c>
      <c r="O166" s="4">
        <v>1</v>
      </c>
      <c r="P166" s="4">
        <v>0</v>
      </c>
      <c r="Q166" s="4">
        <v>0</v>
      </c>
      <c r="R166" s="4">
        <v>0</v>
      </c>
      <c r="S166" s="4">
        <v>0</v>
      </c>
      <c r="T166" s="4">
        <v>0</v>
      </c>
      <c r="U166" s="4">
        <v>0</v>
      </c>
      <c r="V166" s="4">
        <v>0</v>
      </c>
      <c r="W166" s="4">
        <v>0</v>
      </c>
      <c r="X166" s="4">
        <v>0</v>
      </c>
      <c r="Y166" s="4">
        <v>0</v>
      </c>
    </row>
    <row r="167" spans="4:25" x14ac:dyDescent="0.45">
      <c r="D167" s="17">
        <f>IF(SUM(F167:K168)&gt;0,D165+1,"")</f>
        <v>80</v>
      </c>
      <c r="E167" s="15" t="s">
        <v>15</v>
      </c>
      <c r="F167" s="4">
        <v>10</v>
      </c>
      <c r="G167" s="4">
        <v>11</v>
      </c>
      <c r="H167" s="4">
        <v>12</v>
      </c>
      <c r="I167" s="4">
        <v>13</v>
      </c>
      <c r="J167" s="4">
        <v>14</v>
      </c>
      <c r="K167" s="4">
        <v>15</v>
      </c>
      <c r="L167" s="4">
        <v>16</v>
      </c>
      <c r="M167" s="4">
        <v>17</v>
      </c>
      <c r="N167" s="4">
        <v>18</v>
      </c>
      <c r="O167" s="4">
        <v>19</v>
      </c>
      <c r="P167" s="4">
        <v>20</v>
      </c>
      <c r="Q167" s="4">
        <v>0</v>
      </c>
      <c r="R167" s="4">
        <v>0</v>
      </c>
      <c r="S167" s="4">
        <v>0</v>
      </c>
      <c r="T167" s="4">
        <v>0</v>
      </c>
      <c r="U167" s="4">
        <v>0</v>
      </c>
      <c r="V167" s="4">
        <v>0</v>
      </c>
      <c r="W167" s="4">
        <v>0</v>
      </c>
      <c r="X167" s="4">
        <v>0</v>
      </c>
      <c r="Y167" s="4">
        <v>0</v>
      </c>
    </row>
    <row r="168" spans="4:25" ht="16.3" thickBot="1" x14ac:dyDescent="0.5">
      <c r="D168" s="18"/>
      <c r="E168" s="16"/>
      <c r="F168" s="4">
        <v>9</v>
      </c>
      <c r="G168" s="4">
        <v>8</v>
      </c>
      <c r="H168" s="4">
        <v>7</v>
      </c>
      <c r="I168" s="4">
        <v>6</v>
      </c>
      <c r="J168" s="4">
        <v>5</v>
      </c>
      <c r="K168" s="4">
        <v>4</v>
      </c>
      <c r="L168" s="4">
        <v>3</v>
      </c>
      <c r="M168" s="4">
        <v>2</v>
      </c>
      <c r="N168" s="4">
        <v>1</v>
      </c>
      <c r="O168" s="4">
        <v>0</v>
      </c>
      <c r="P168" s="4">
        <v>0</v>
      </c>
      <c r="Q168" s="4">
        <v>0</v>
      </c>
      <c r="R168" s="4">
        <v>0</v>
      </c>
      <c r="S168" s="4">
        <v>0</v>
      </c>
      <c r="T168" s="4">
        <v>0</v>
      </c>
      <c r="U168" s="4">
        <v>0</v>
      </c>
      <c r="V168" s="4">
        <v>0</v>
      </c>
      <c r="W168" s="4">
        <v>0</v>
      </c>
      <c r="X168" s="4">
        <v>0</v>
      </c>
      <c r="Y168" s="4">
        <v>0</v>
      </c>
    </row>
    <row r="169" spans="4:25" x14ac:dyDescent="0.45">
      <c r="D169" s="17">
        <f>IF(SUM(F169:K170)&gt;0,D167+1,"")</f>
        <v>81</v>
      </c>
      <c r="E169" s="15" t="s">
        <v>15</v>
      </c>
      <c r="F169" s="4">
        <v>9</v>
      </c>
      <c r="G169" s="4">
        <v>10</v>
      </c>
      <c r="H169" s="4">
        <v>11</v>
      </c>
      <c r="I169" s="4">
        <v>12</v>
      </c>
      <c r="J169" s="4">
        <v>13</v>
      </c>
      <c r="K169" s="4">
        <v>14</v>
      </c>
      <c r="L169" s="4">
        <v>15</v>
      </c>
      <c r="M169" s="4">
        <v>16</v>
      </c>
      <c r="N169" s="4">
        <v>17</v>
      </c>
      <c r="O169" s="4">
        <v>18</v>
      </c>
      <c r="P169" s="4">
        <v>19</v>
      </c>
      <c r="Q169" s="4">
        <v>20</v>
      </c>
      <c r="R169" s="4">
        <v>0</v>
      </c>
      <c r="S169" s="4">
        <v>0</v>
      </c>
      <c r="T169" s="4">
        <v>0</v>
      </c>
      <c r="U169" s="4">
        <v>0</v>
      </c>
      <c r="V169" s="4">
        <v>0</v>
      </c>
      <c r="W169" s="4">
        <v>0</v>
      </c>
      <c r="X169" s="4">
        <v>0</v>
      </c>
      <c r="Y169" s="4">
        <v>0</v>
      </c>
    </row>
    <row r="170" spans="4:25" ht="16.3" thickBot="1" x14ac:dyDescent="0.5">
      <c r="D170" s="18"/>
      <c r="E170" s="16"/>
      <c r="F170" s="4">
        <v>8</v>
      </c>
      <c r="G170" s="4">
        <v>7</v>
      </c>
      <c r="H170" s="4">
        <v>6</v>
      </c>
      <c r="I170" s="4">
        <v>5</v>
      </c>
      <c r="J170" s="4">
        <v>4</v>
      </c>
      <c r="K170" s="4">
        <v>3</v>
      </c>
      <c r="L170" s="4">
        <v>2</v>
      </c>
      <c r="M170" s="4">
        <v>1</v>
      </c>
      <c r="N170" s="4">
        <v>0</v>
      </c>
      <c r="O170" s="4">
        <v>0</v>
      </c>
      <c r="P170" s="4">
        <v>0</v>
      </c>
      <c r="Q170" s="4">
        <v>0</v>
      </c>
      <c r="R170" s="4">
        <v>0</v>
      </c>
      <c r="S170" s="4">
        <v>0</v>
      </c>
      <c r="T170" s="4">
        <v>0</v>
      </c>
      <c r="U170" s="4">
        <v>0</v>
      </c>
      <c r="V170" s="4">
        <v>0</v>
      </c>
      <c r="W170" s="4">
        <v>0</v>
      </c>
      <c r="X170" s="4">
        <v>0</v>
      </c>
      <c r="Y170" s="4">
        <v>0</v>
      </c>
    </row>
    <row r="171" spans="4:25" x14ac:dyDescent="0.45">
      <c r="D171" s="17">
        <f>IF(SUM(F171:K172)&gt;0,D169+1,"")</f>
        <v>82</v>
      </c>
      <c r="E171" s="15" t="s">
        <v>15</v>
      </c>
      <c r="F171" s="4">
        <v>8</v>
      </c>
      <c r="G171" s="4">
        <v>9</v>
      </c>
      <c r="H171" s="4">
        <v>10</v>
      </c>
      <c r="I171" s="4">
        <v>11</v>
      </c>
      <c r="J171" s="4">
        <v>12</v>
      </c>
      <c r="K171" s="4">
        <v>13</v>
      </c>
      <c r="L171" s="4">
        <v>14</v>
      </c>
      <c r="M171" s="4">
        <v>15</v>
      </c>
      <c r="N171" s="4">
        <v>16</v>
      </c>
      <c r="O171" s="4">
        <v>17</v>
      </c>
      <c r="P171" s="4">
        <v>18</v>
      </c>
      <c r="Q171" s="4">
        <v>19</v>
      </c>
      <c r="R171" s="4">
        <v>20</v>
      </c>
      <c r="S171" s="4">
        <v>0</v>
      </c>
      <c r="T171" s="4">
        <v>0</v>
      </c>
      <c r="U171" s="4">
        <v>0</v>
      </c>
      <c r="V171" s="4">
        <v>0</v>
      </c>
      <c r="W171" s="4">
        <v>0</v>
      </c>
      <c r="X171" s="4">
        <v>0</v>
      </c>
      <c r="Y171" s="4">
        <v>0</v>
      </c>
    </row>
    <row r="172" spans="4:25" ht="16.3" thickBot="1" x14ac:dyDescent="0.5">
      <c r="D172" s="18"/>
      <c r="E172" s="16"/>
      <c r="F172" s="4">
        <v>7</v>
      </c>
      <c r="G172" s="4">
        <v>6</v>
      </c>
      <c r="H172" s="4">
        <v>5</v>
      </c>
      <c r="I172" s="4">
        <v>4</v>
      </c>
      <c r="J172" s="4">
        <v>3</v>
      </c>
      <c r="K172" s="4">
        <v>2</v>
      </c>
      <c r="L172" s="4">
        <v>1</v>
      </c>
      <c r="M172" s="4">
        <v>0</v>
      </c>
      <c r="N172" s="4">
        <v>0</v>
      </c>
      <c r="O172" s="4">
        <v>0</v>
      </c>
      <c r="P172" s="4">
        <v>0</v>
      </c>
      <c r="Q172" s="4">
        <v>0</v>
      </c>
      <c r="R172" s="4">
        <v>0</v>
      </c>
      <c r="S172" s="4">
        <v>0</v>
      </c>
      <c r="T172" s="4">
        <v>0</v>
      </c>
      <c r="U172" s="4">
        <v>0</v>
      </c>
      <c r="V172" s="4">
        <v>0</v>
      </c>
      <c r="W172" s="4">
        <v>0</v>
      </c>
      <c r="X172" s="4">
        <v>0</v>
      </c>
      <c r="Y172" s="4">
        <v>0</v>
      </c>
    </row>
    <row r="173" spans="4:25" x14ac:dyDescent="0.45">
      <c r="D173" s="17">
        <f>IF(SUM(F173:K174)&gt;0,D171+1,"")</f>
        <v>83</v>
      </c>
      <c r="E173" s="15" t="s">
        <v>15</v>
      </c>
      <c r="F173" s="4">
        <v>7</v>
      </c>
      <c r="G173" s="4">
        <v>8</v>
      </c>
      <c r="H173" s="4">
        <v>9</v>
      </c>
      <c r="I173" s="4">
        <v>10</v>
      </c>
      <c r="J173" s="4">
        <v>11</v>
      </c>
      <c r="K173" s="4">
        <v>12</v>
      </c>
      <c r="L173" s="4">
        <v>13</v>
      </c>
      <c r="M173" s="4">
        <v>14</v>
      </c>
      <c r="N173" s="4">
        <v>15</v>
      </c>
      <c r="O173" s="4">
        <v>16</v>
      </c>
      <c r="P173" s="4">
        <v>17</v>
      </c>
      <c r="Q173" s="4">
        <v>18</v>
      </c>
      <c r="R173" s="4">
        <v>19</v>
      </c>
      <c r="S173" s="4">
        <v>20</v>
      </c>
      <c r="T173" s="4">
        <v>0</v>
      </c>
      <c r="U173" s="4">
        <v>0</v>
      </c>
      <c r="V173" s="4">
        <v>0</v>
      </c>
      <c r="W173" s="4">
        <v>0</v>
      </c>
      <c r="X173" s="4">
        <v>0</v>
      </c>
      <c r="Y173" s="4">
        <v>0</v>
      </c>
    </row>
    <row r="174" spans="4:25" ht="16.3" thickBot="1" x14ac:dyDescent="0.5">
      <c r="D174" s="18"/>
      <c r="E174" s="16"/>
      <c r="F174" s="4">
        <v>6</v>
      </c>
      <c r="G174" s="4">
        <v>5</v>
      </c>
      <c r="H174" s="4">
        <v>4</v>
      </c>
      <c r="I174" s="4">
        <v>3</v>
      </c>
      <c r="J174" s="4">
        <v>2</v>
      </c>
      <c r="K174" s="4">
        <v>1</v>
      </c>
      <c r="L174" s="4">
        <v>0</v>
      </c>
      <c r="M174" s="4">
        <v>0</v>
      </c>
      <c r="N174" s="4">
        <v>0</v>
      </c>
      <c r="O174" s="4">
        <v>0</v>
      </c>
      <c r="P174" s="4">
        <v>0</v>
      </c>
      <c r="Q174" s="4">
        <v>0</v>
      </c>
      <c r="R174" s="4">
        <v>0</v>
      </c>
      <c r="S174" s="4">
        <v>0</v>
      </c>
      <c r="T174" s="4">
        <v>0</v>
      </c>
      <c r="U174" s="4">
        <v>0</v>
      </c>
      <c r="V174" s="4">
        <v>0</v>
      </c>
      <c r="W174" s="4">
        <v>0</v>
      </c>
      <c r="X174" s="4">
        <v>0</v>
      </c>
      <c r="Y174" s="4">
        <v>0</v>
      </c>
    </row>
    <row r="175" spans="4:25" x14ac:dyDescent="0.45">
      <c r="D175" s="17">
        <f>IF(SUM(F175:K176)&gt;0,D173+1,"")</f>
        <v>84</v>
      </c>
      <c r="E175" s="15" t="s">
        <v>15</v>
      </c>
      <c r="F175" s="4">
        <v>6</v>
      </c>
      <c r="G175" s="4">
        <v>7</v>
      </c>
      <c r="H175" s="4">
        <v>8</v>
      </c>
      <c r="I175" s="4">
        <v>9</v>
      </c>
      <c r="J175" s="4">
        <v>10</v>
      </c>
      <c r="K175" s="4">
        <v>11</v>
      </c>
      <c r="L175" s="4">
        <v>12</v>
      </c>
      <c r="M175" s="4">
        <v>13</v>
      </c>
      <c r="N175" s="4">
        <v>14</v>
      </c>
      <c r="O175" s="4">
        <v>15</v>
      </c>
      <c r="P175" s="4">
        <v>16</v>
      </c>
      <c r="Q175" s="4">
        <v>17</v>
      </c>
      <c r="R175" s="4">
        <v>18</v>
      </c>
      <c r="S175" s="4">
        <v>19</v>
      </c>
      <c r="T175" s="4">
        <v>20</v>
      </c>
      <c r="U175" s="4">
        <v>0</v>
      </c>
      <c r="V175" s="4">
        <v>0</v>
      </c>
      <c r="W175" s="4">
        <v>0</v>
      </c>
      <c r="X175" s="4">
        <v>0</v>
      </c>
      <c r="Y175" s="4">
        <v>0</v>
      </c>
    </row>
    <row r="176" spans="4:25" ht="16.3" thickBot="1" x14ac:dyDescent="0.5">
      <c r="D176" s="18"/>
      <c r="E176" s="16"/>
      <c r="F176" s="4">
        <v>5</v>
      </c>
      <c r="G176" s="4">
        <v>4</v>
      </c>
      <c r="H176" s="4">
        <v>3</v>
      </c>
      <c r="I176" s="4">
        <v>2</v>
      </c>
      <c r="J176" s="4">
        <v>1</v>
      </c>
      <c r="K176" s="4">
        <v>0</v>
      </c>
      <c r="L176" s="4">
        <v>0</v>
      </c>
      <c r="M176" s="4">
        <v>0</v>
      </c>
      <c r="N176" s="4">
        <v>0</v>
      </c>
      <c r="O176" s="4">
        <v>0</v>
      </c>
      <c r="P176" s="4">
        <v>0</v>
      </c>
      <c r="Q176" s="4">
        <v>0</v>
      </c>
      <c r="R176" s="4">
        <v>0</v>
      </c>
      <c r="S176" s="4">
        <v>0</v>
      </c>
      <c r="T176" s="4">
        <v>0</v>
      </c>
      <c r="U176" s="4">
        <v>0</v>
      </c>
      <c r="V176" s="4">
        <v>0</v>
      </c>
      <c r="W176" s="4">
        <v>0</v>
      </c>
      <c r="X176" s="4">
        <v>0</v>
      </c>
      <c r="Y176" s="4">
        <v>0</v>
      </c>
    </row>
    <row r="177" spans="4:25" x14ac:dyDescent="0.45">
      <c r="D177" s="17">
        <f>IF(SUM(F177:K178)&gt;0,D175+1,"")</f>
        <v>85</v>
      </c>
      <c r="E177" s="15" t="s">
        <v>15</v>
      </c>
      <c r="F177" s="4">
        <v>5</v>
      </c>
      <c r="G177" s="4">
        <v>6</v>
      </c>
      <c r="H177" s="4">
        <v>7</v>
      </c>
      <c r="I177" s="4">
        <v>8</v>
      </c>
      <c r="J177" s="4">
        <v>9</v>
      </c>
      <c r="K177" s="4">
        <v>10</v>
      </c>
      <c r="L177" s="4">
        <v>11</v>
      </c>
      <c r="M177" s="4">
        <v>12</v>
      </c>
      <c r="N177" s="4">
        <v>13</v>
      </c>
      <c r="O177" s="4">
        <v>14</v>
      </c>
      <c r="P177" s="4">
        <v>15</v>
      </c>
      <c r="Q177" s="4">
        <v>16</v>
      </c>
      <c r="R177" s="4">
        <v>17</v>
      </c>
      <c r="S177" s="4">
        <v>18</v>
      </c>
      <c r="T177" s="4">
        <v>19</v>
      </c>
      <c r="U177" s="4">
        <v>20</v>
      </c>
      <c r="V177" s="4">
        <v>0</v>
      </c>
      <c r="W177" s="4">
        <v>0</v>
      </c>
      <c r="X177" s="4">
        <v>0</v>
      </c>
      <c r="Y177" s="4">
        <v>0</v>
      </c>
    </row>
    <row r="178" spans="4:25" ht="16.3" thickBot="1" x14ac:dyDescent="0.5">
      <c r="D178" s="18"/>
      <c r="E178" s="16"/>
      <c r="F178" s="4">
        <v>4</v>
      </c>
      <c r="G178" s="4">
        <v>3</v>
      </c>
      <c r="H178" s="4">
        <v>2</v>
      </c>
      <c r="I178" s="4">
        <v>1</v>
      </c>
      <c r="J178" s="4">
        <v>0</v>
      </c>
      <c r="K178" s="4">
        <v>0</v>
      </c>
      <c r="L178" s="4">
        <v>0</v>
      </c>
      <c r="M178" s="4">
        <v>0</v>
      </c>
      <c r="N178" s="4">
        <v>0</v>
      </c>
      <c r="O178" s="4">
        <v>0</v>
      </c>
      <c r="P178" s="4">
        <v>0</v>
      </c>
      <c r="Q178" s="4">
        <v>0</v>
      </c>
      <c r="R178" s="4">
        <v>0</v>
      </c>
      <c r="S178" s="4">
        <v>0</v>
      </c>
      <c r="T178" s="4">
        <v>0</v>
      </c>
      <c r="U178" s="4">
        <v>0</v>
      </c>
      <c r="V178" s="4">
        <v>0</v>
      </c>
      <c r="W178" s="4">
        <v>0</v>
      </c>
      <c r="X178" s="4">
        <v>0</v>
      </c>
      <c r="Y178" s="4">
        <v>0</v>
      </c>
    </row>
    <row r="179" spans="4:25" x14ac:dyDescent="0.45">
      <c r="D179" s="17">
        <f>IF(SUM(F179:K180)&gt;0,D177+1,"")</f>
        <v>86</v>
      </c>
      <c r="E179" s="15" t="s">
        <v>15</v>
      </c>
      <c r="F179" s="4">
        <v>4</v>
      </c>
      <c r="G179" s="4">
        <v>5</v>
      </c>
      <c r="H179" s="4">
        <v>6</v>
      </c>
      <c r="I179" s="4">
        <v>7</v>
      </c>
      <c r="J179" s="4">
        <v>8</v>
      </c>
      <c r="K179" s="4">
        <v>9</v>
      </c>
      <c r="L179" s="4">
        <v>10</v>
      </c>
      <c r="M179" s="4">
        <v>11</v>
      </c>
      <c r="N179" s="4">
        <v>12</v>
      </c>
      <c r="O179" s="4">
        <v>13</v>
      </c>
      <c r="P179" s="4">
        <v>14</v>
      </c>
      <c r="Q179" s="4">
        <v>15</v>
      </c>
      <c r="R179" s="4">
        <v>16</v>
      </c>
      <c r="S179" s="4">
        <v>17</v>
      </c>
      <c r="T179" s="4">
        <v>18</v>
      </c>
      <c r="U179" s="4">
        <v>19</v>
      </c>
      <c r="V179" s="4">
        <v>20</v>
      </c>
      <c r="W179" s="4">
        <v>0</v>
      </c>
      <c r="X179" s="4">
        <v>0</v>
      </c>
      <c r="Y179" s="4">
        <v>0</v>
      </c>
    </row>
    <row r="180" spans="4:25" ht="16.3" thickBot="1" x14ac:dyDescent="0.5">
      <c r="D180" s="18"/>
      <c r="E180" s="16"/>
      <c r="F180" s="4">
        <v>3</v>
      </c>
      <c r="G180" s="4">
        <v>2</v>
      </c>
      <c r="H180" s="4">
        <v>1</v>
      </c>
      <c r="I180" s="4">
        <v>0</v>
      </c>
      <c r="J180" s="4">
        <v>0</v>
      </c>
      <c r="K180" s="4">
        <v>0</v>
      </c>
      <c r="L180" s="4">
        <v>0</v>
      </c>
      <c r="M180" s="4">
        <v>0</v>
      </c>
      <c r="N180" s="4">
        <v>0</v>
      </c>
      <c r="O180" s="4">
        <v>0</v>
      </c>
      <c r="P180" s="4">
        <v>0</v>
      </c>
      <c r="Q180" s="4">
        <v>0</v>
      </c>
      <c r="R180" s="4">
        <v>0</v>
      </c>
      <c r="S180" s="4">
        <v>0</v>
      </c>
      <c r="T180" s="4">
        <v>0</v>
      </c>
      <c r="U180" s="4">
        <v>0</v>
      </c>
      <c r="V180" s="4">
        <v>0</v>
      </c>
      <c r="W180" s="4">
        <v>0</v>
      </c>
      <c r="X180" s="4">
        <v>0</v>
      </c>
      <c r="Y180" s="4">
        <v>0</v>
      </c>
    </row>
    <row r="181" spans="4:25" x14ac:dyDescent="0.45">
      <c r="D181" s="17">
        <f>IF(SUM(F181:K182)&gt;0,D179+1,"")</f>
        <v>87</v>
      </c>
      <c r="E181" s="15" t="s">
        <v>15</v>
      </c>
      <c r="F181" s="4">
        <v>3</v>
      </c>
      <c r="G181" s="4">
        <v>4</v>
      </c>
      <c r="H181" s="4">
        <v>5</v>
      </c>
      <c r="I181" s="4">
        <v>6</v>
      </c>
      <c r="J181" s="4">
        <v>7</v>
      </c>
      <c r="K181" s="4">
        <v>8</v>
      </c>
      <c r="L181" s="4">
        <v>9</v>
      </c>
      <c r="M181" s="4">
        <v>10</v>
      </c>
      <c r="N181" s="4">
        <v>11</v>
      </c>
      <c r="O181" s="4">
        <v>12</v>
      </c>
      <c r="P181" s="4">
        <v>13</v>
      </c>
      <c r="Q181" s="4">
        <v>14</v>
      </c>
      <c r="R181" s="4">
        <v>15</v>
      </c>
      <c r="S181" s="4">
        <v>16</v>
      </c>
      <c r="T181" s="4">
        <v>17</v>
      </c>
      <c r="U181" s="4">
        <v>18</v>
      </c>
      <c r="V181" s="4">
        <v>19</v>
      </c>
      <c r="W181" s="4">
        <v>20</v>
      </c>
      <c r="X181" s="4">
        <v>0</v>
      </c>
      <c r="Y181" s="4">
        <v>0</v>
      </c>
    </row>
    <row r="182" spans="4:25" ht="16.3" thickBot="1" x14ac:dyDescent="0.5">
      <c r="D182" s="18"/>
      <c r="E182" s="16"/>
      <c r="F182" s="4">
        <v>2</v>
      </c>
      <c r="G182" s="4">
        <v>1</v>
      </c>
      <c r="H182" s="4">
        <v>0</v>
      </c>
      <c r="I182" s="4">
        <v>0</v>
      </c>
      <c r="J182" s="4">
        <v>0</v>
      </c>
      <c r="K182" s="4">
        <v>0</v>
      </c>
      <c r="L182" s="4">
        <v>0</v>
      </c>
      <c r="M182" s="4">
        <v>0</v>
      </c>
      <c r="N182" s="4">
        <v>0</v>
      </c>
      <c r="O182" s="4">
        <v>0</v>
      </c>
      <c r="P182" s="4">
        <v>0</v>
      </c>
      <c r="Q182" s="4">
        <v>0</v>
      </c>
      <c r="R182" s="4">
        <v>0</v>
      </c>
      <c r="S182" s="4">
        <v>0</v>
      </c>
      <c r="T182" s="4">
        <v>0</v>
      </c>
      <c r="U182" s="4">
        <v>0</v>
      </c>
      <c r="V182" s="4">
        <v>0</v>
      </c>
      <c r="W182" s="4">
        <v>0</v>
      </c>
      <c r="X182" s="4">
        <v>0</v>
      </c>
      <c r="Y182" s="4">
        <v>0</v>
      </c>
    </row>
    <row r="183" spans="4:25" x14ac:dyDescent="0.45">
      <c r="D183" s="17">
        <f>IF(SUM(F183:K184)&gt;0,D181+1,"")</f>
        <v>88</v>
      </c>
      <c r="E183" s="15" t="s">
        <v>15</v>
      </c>
      <c r="F183" s="4">
        <v>2</v>
      </c>
      <c r="G183" s="4">
        <v>3</v>
      </c>
      <c r="H183" s="4">
        <v>4</v>
      </c>
      <c r="I183" s="4">
        <v>5</v>
      </c>
      <c r="J183" s="4">
        <v>6</v>
      </c>
      <c r="K183" s="4">
        <v>7</v>
      </c>
      <c r="L183" s="4">
        <v>8</v>
      </c>
      <c r="M183" s="4">
        <v>9</v>
      </c>
      <c r="N183" s="4">
        <v>10</v>
      </c>
      <c r="O183" s="4">
        <v>11</v>
      </c>
      <c r="P183" s="4">
        <v>12</v>
      </c>
      <c r="Q183" s="4">
        <v>13</v>
      </c>
      <c r="R183" s="4">
        <v>14</v>
      </c>
      <c r="S183" s="4">
        <v>15</v>
      </c>
      <c r="T183" s="4">
        <v>16</v>
      </c>
      <c r="U183" s="4">
        <v>17</v>
      </c>
      <c r="V183" s="4">
        <v>18</v>
      </c>
      <c r="W183" s="4">
        <v>19</v>
      </c>
      <c r="X183" s="4">
        <v>20</v>
      </c>
      <c r="Y183" s="4">
        <v>0</v>
      </c>
    </row>
    <row r="184" spans="4:25" ht="16.3" thickBot="1" x14ac:dyDescent="0.5">
      <c r="D184" s="18"/>
      <c r="E184" s="16"/>
      <c r="F184" s="4">
        <v>1</v>
      </c>
      <c r="G184" s="4">
        <v>0</v>
      </c>
      <c r="H184" s="4">
        <v>0</v>
      </c>
      <c r="I184" s="4">
        <v>0</v>
      </c>
      <c r="J184" s="4">
        <v>0</v>
      </c>
      <c r="K184" s="4">
        <v>0</v>
      </c>
      <c r="L184" s="4">
        <v>0</v>
      </c>
      <c r="M184" s="4">
        <v>0</v>
      </c>
      <c r="N184" s="4">
        <v>0</v>
      </c>
      <c r="O184" s="4">
        <v>0</v>
      </c>
      <c r="P184" s="4">
        <v>0</v>
      </c>
      <c r="Q184" s="4">
        <v>0</v>
      </c>
      <c r="R184" s="4">
        <v>0</v>
      </c>
      <c r="S184" s="4">
        <v>0</v>
      </c>
      <c r="T184" s="4">
        <v>0</v>
      </c>
      <c r="U184" s="4">
        <v>0</v>
      </c>
      <c r="V184" s="4">
        <v>0</v>
      </c>
      <c r="W184" s="4">
        <v>0</v>
      </c>
      <c r="X184" s="4">
        <v>0</v>
      </c>
      <c r="Y184" s="4">
        <v>0</v>
      </c>
    </row>
    <row r="185" spans="4:25" x14ac:dyDescent="0.45">
      <c r="D185" s="17">
        <f>IF(SUM(F185:K186)&gt;0,D183+1,"")</f>
        <v>89</v>
      </c>
      <c r="E185" s="15" t="s">
        <v>15</v>
      </c>
      <c r="F185" s="4">
        <v>1</v>
      </c>
      <c r="G185" s="4">
        <v>2</v>
      </c>
      <c r="H185" s="4">
        <v>3</v>
      </c>
      <c r="I185" s="4">
        <v>4</v>
      </c>
      <c r="J185" s="4">
        <v>5</v>
      </c>
      <c r="K185" s="4">
        <v>6</v>
      </c>
      <c r="L185" s="4">
        <v>7</v>
      </c>
      <c r="M185" s="4">
        <v>8</v>
      </c>
      <c r="N185" s="4">
        <v>9</v>
      </c>
      <c r="O185" s="4">
        <v>10</v>
      </c>
      <c r="P185" s="4">
        <v>11</v>
      </c>
      <c r="Q185" s="4">
        <v>12</v>
      </c>
      <c r="R185" s="4">
        <v>13</v>
      </c>
      <c r="S185" s="4">
        <v>14</v>
      </c>
      <c r="T185" s="4">
        <v>15</v>
      </c>
      <c r="U185" s="4">
        <v>16</v>
      </c>
      <c r="V185" s="4">
        <v>17</v>
      </c>
      <c r="W185" s="4">
        <v>18</v>
      </c>
      <c r="X185" s="4">
        <v>19</v>
      </c>
      <c r="Y185" s="4">
        <v>20</v>
      </c>
    </row>
    <row r="186" spans="4:25" ht="16.3" thickBot="1" x14ac:dyDescent="0.5">
      <c r="D186" s="18"/>
      <c r="E186" s="16"/>
      <c r="F186" s="4">
        <v>0</v>
      </c>
      <c r="G186" s="4">
        <v>0</v>
      </c>
      <c r="H186" s="4">
        <v>0</v>
      </c>
      <c r="I186" s="4">
        <v>0</v>
      </c>
      <c r="J186" s="4">
        <v>0</v>
      </c>
      <c r="K186" s="4">
        <v>0</v>
      </c>
      <c r="L186" s="4">
        <v>0</v>
      </c>
      <c r="M186" s="4">
        <v>0</v>
      </c>
      <c r="N186" s="4">
        <v>0</v>
      </c>
      <c r="O186" s="4">
        <v>0</v>
      </c>
      <c r="P186" s="4">
        <v>0</v>
      </c>
      <c r="Q186" s="4">
        <v>0</v>
      </c>
      <c r="R186" s="4">
        <v>0</v>
      </c>
      <c r="S186" s="4">
        <v>0</v>
      </c>
      <c r="T186" s="4">
        <v>0</v>
      </c>
      <c r="U186" s="4">
        <v>0</v>
      </c>
      <c r="V186" s="4">
        <v>0</v>
      </c>
      <c r="W186" s="4">
        <v>0</v>
      </c>
      <c r="X186" s="4">
        <v>0</v>
      </c>
      <c r="Y186" s="4">
        <v>0</v>
      </c>
    </row>
    <row r="187" spans="4:25" x14ac:dyDescent="0.45">
      <c r="D187" s="17" t="str">
        <f>IF(SUM(F187:K188)&gt;0,D185+1,"")</f>
        <v/>
      </c>
      <c r="E187" s="15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</row>
    <row r="188" spans="4:25" ht="16.3" thickBot="1" x14ac:dyDescent="0.5">
      <c r="D188" s="18"/>
      <c r="E188" s="16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</row>
    <row r="189" spans="4:25" x14ac:dyDescent="0.45">
      <c r="D189" s="17" t="str">
        <f>IF(SUM(F189:K190)&gt;0,D187+1,"")</f>
        <v/>
      </c>
      <c r="E189" s="15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</row>
    <row r="190" spans="4:25" ht="16.3" thickBot="1" x14ac:dyDescent="0.5">
      <c r="D190" s="18"/>
      <c r="E190" s="16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</row>
    <row r="191" spans="4:25" x14ac:dyDescent="0.45">
      <c r="D191" s="17" t="str">
        <f>IF(SUM(F191:K192)&gt;0,D189+1,"")</f>
        <v/>
      </c>
      <c r="E191" s="15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</row>
    <row r="192" spans="4:25" ht="16.3" thickBot="1" x14ac:dyDescent="0.5">
      <c r="D192" s="18"/>
      <c r="E192" s="16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</row>
    <row r="193" spans="4:25" x14ac:dyDescent="0.45">
      <c r="D193" s="17" t="str">
        <f>IF(SUM(F193:K194)&gt;0,D191+1,"")</f>
        <v/>
      </c>
      <c r="E193" s="15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</row>
    <row r="194" spans="4:25" ht="16.3" thickBot="1" x14ac:dyDescent="0.5">
      <c r="D194" s="18"/>
      <c r="E194" s="16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</row>
    <row r="195" spans="4:25" x14ac:dyDescent="0.45">
      <c r="D195" s="17" t="str">
        <f>IF(SUM(F195:K196)&gt;0,D193+1,"")</f>
        <v/>
      </c>
      <c r="E195" s="15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</row>
    <row r="196" spans="4:25" ht="16.3" thickBot="1" x14ac:dyDescent="0.5">
      <c r="D196" s="18"/>
      <c r="E196" s="16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</row>
    <row r="197" spans="4:25" x14ac:dyDescent="0.45">
      <c r="D197" s="17" t="str">
        <f>IF(SUM(F197:K198)&gt;0,D195+1,"")</f>
        <v/>
      </c>
      <c r="E197" s="15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</row>
    <row r="198" spans="4:25" ht="16.3" thickBot="1" x14ac:dyDescent="0.5">
      <c r="D198" s="18"/>
      <c r="E198" s="16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</row>
    <row r="199" spans="4:25" x14ac:dyDescent="0.45">
      <c r="D199" s="17" t="str">
        <f>IF(SUM(F199:K200)&gt;0,D197+1,"")</f>
        <v/>
      </c>
      <c r="E199" s="15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</row>
    <row r="200" spans="4:25" ht="16.3" thickBot="1" x14ac:dyDescent="0.5">
      <c r="D200" s="18"/>
      <c r="E200" s="16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</row>
    <row r="201" spans="4:25" x14ac:dyDescent="0.45">
      <c r="D201" s="17" t="str">
        <f>IF(SUM(F201:K202)&gt;0,D199+1,"")</f>
        <v/>
      </c>
      <c r="E201" s="15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</row>
    <row r="202" spans="4:25" ht="16.3" thickBot="1" x14ac:dyDescent="0.5">
      <c r="D202" s="18"/>
      <c r="E202" s="16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</row>
    <row r="203" spans="4:25" x14ac:dyDescent="0.45">
      <c r="D203" s="17" t="str">
        <f>IF(SUM(F203:K204)&gt;0,D201+1,"")</f>
        <v/>
      </c>
      <c r="E203" s="15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</row>
    <row r="204" spans="4:25" ht="16.3" thickBot="1" x14ac:dyDescent="0.5">
      <c r="D204" s="18"/>
      <c r="E204" s="16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</row>
    <row r="205" spans="4:25" x14ac:dyDescent="0.45">
      <c r="D205" s="17" t="str">
        <f>IF(SUM(F205:K206)&gt;0,D203+1,"")</f>
        <v/>
      </c>
      <c r="E205" s="15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</row>
    <row r="206" spans="4:25" ht="16.3" thickBot="1" x14ac:dyDescent="0.5">
      <c r="D206" s="18"/>
      <c r="E206" s="16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</row>
  </sheetData>
  <mergeCells count="200">
    <mergeCell ref="D7:D8"/>
    <mergeCell ref="E7:E8"/>
    <mergeCell ref="D9:D10"/>
    <mergeCell ref="E9:E10"/>
    <mergeCell ref="D11:D12"/>
    <mergeCell ref="E11:E12"/>
    <mergeCell ref="D19:D20"/>
    <mergeCell ref="E19:E20"/>
    <mergeCell ref="D21:D22"/>
    <mergeCell ref="E21:E22"/>
    <mergeCell ref="D23:D24"/>
    <mergeCell ref="E23:E24"/>
    <mergeCell ref="D13:D14"/>
    <mergeCell ref="E13:E14"/>
    <mergeCell ref="D15:D16"/>
    <mergeCell ref="E15:E16"/>
    <mergeCell ref="D17:D18"/>
    <mergeCell ref="E17:E18"/>
    <mergeCell ref="D31:D32"/>
    <mergeCell ref="E31:E32"/>
    <mergeCell ref="D33:D34"/>
    <mergeCell ref="E33:E34"/>
    <mergeCell ref="D35:D36"/>
    <mergeCell ref="E35:E36"/>
    <mergeCell ref="D25:D26"/>
    <mergeCell ref="E25:E26"/>
    <mergeCell ref="D27:D28"/>
    <mergeCell ref="E27:E28"/>
    <mergeCell ref="D29:D30"/>
    <mergeCell ref="E29:E30"/>
    <mergeCell ref="D43:D44"/>
    <mergeCell ref="E43:E44"/>
    <mergeCell ref="D45:D46"/>
    <mergeCell ref="E45:E46"/>
    <mergeCell ref="D47:D48"/>
    <mergeCell ref="E47:E48"/>
    <mergeCell ref="D37:D38"/>
    <mergeCell ref="E37:E38"/>
    <mergeCell ref="D39:D40"/>
    <mergeCell ref="E39:E40"/>
    <mergeCell ref="D41:D42"/>
    <mergeCell ref="E41:E42"/>
    <mergeCell ref="D55:D56"/>
    <mergeCell ref="E55:E56"/>
    <mergeCell ref="D57:D58"/>
    <mergeCell ref="E57:E58"/>
    <mergeCell ref="D59:D60"/>
    <mergeCell ref="E59:E60"/>
    <mergeCell ref="D49:D50"/>
    <mergeCell ref="E49:E50"/>
    <mergeCell ref="D51:D52"/>
    <mergeCell ref="E51:E52"/>
    <mergeCell ref="D53:D54"/>
    <mergeCell ref="E53:E54"/>
    <mergeCell ref="D67:D68"/>
    <mergeCell ref="E67:E68"/>
    <mergeCell ref="D69:D70"/>
    <mergeCell ref="E69:E70"/>
    <mergeCell ref="D71:D72"/>
    <mergeCell ref="E71:E72"/>
    <mergeCell ref="D61:D62"/>
    <mergeCell ref="E61:E62"/>
    <mergeCell ref="D63:D64"/>
    <mergeCell ref="E63:E64"/>
    <mergeCell ref="D65:D66"/>
    <mergeCell ref="E65:E66"/>
    <mergeCell ref="D79:D80"/>
    <mergeCell ref="E79:E80"/>
    <mergeCell ref="D81:D82"/>
    <mergeCell ref="E81:E82"/>
    <mergeCell ref="D83:D84"/>
    <mergeCell ref="E83:E84"/>
    <mergeCell ref="D73:D74"/>
    <mergeCell ref="E73:E74"/>
    <mergeCell ref="D75:D76"/>
    <mergeCell ref="E75:E76"/>
    <mergeCell ref="D77:D78"/>
    <mergeCell ref="E77:E78"/>
    <mergeCell ref="D91:D92"/>
    <mergeCell ref="E91:E92"/>
    <mergeCell ref="D93:D94"/>
    <mergeCell ref="E93:E94"/>
    <mergeCell ref="D95:D96"/>
    <mergeCell ref="E95:E96"/>
    <mergeCell ref="D85:D86"/>
    <mergeCell ref="E85:E86"/>
    <mergeCell ref="D87:D88"/>
    <mergeCell ref="E87:E88"/>
    <mergeCell ref="D89:D90"/>
    <mergeCell ref="E89:E90"/>
    <mergeCell ref="D103:D104"/>
    <mergeCell ref="E103:E104"/>
    <mergeCell ref="D105:D106"/>
    <mergeCell ref="E105:E106"/>
    <mergeCell ref="D107:D108"/>
    <mergeCell ref="E107:E108"/>
    <mergeCell ref="D97:D98"/>
    <mergeCell ref="E97:E98"/>
    <mergeCell ref="D99:D100"/>
    <mergeCell ref="E99:E100"/>
    <mergeCell ref="D101:D102"/>
    <mergeCell ref="E101:E102"/>
    <mergeCell ref="D115:D116"/>
    <mergeCell ref="E115:E116"/>
    <mergeCell ref="D117:D118"/>
    <mergeCell ref="E117:E118"/>
    <mergeCell ref="D119:D120"/>
    <mergeCell ref="E119:E120"/>
    <mergeCell ref="D109:D110"/>
    <mergeCell ref="E109:E110"/>
    <mergeCell ref="D111:D112"/>
    <mergeCell ref="E111:E112"/>
    <mergeCell ref="D113:D114"/>
    <mergeCell ref="E113:E114"/>
    <mergeCell ref="D127:D128"/>
    <mergeCell ref="E127:E128"/>
    <mergeCell ref="D129:D130"/>
    <mergeCell ref="E129:E130"/>
    <mergeCell ref="D131:D132"/>
    <mergeCell ref="E131:E132"/>
    <mergeCell ref="D121:D122"/>
    <mergeCell ref="E121:E122"/>
    <mergeCell ref="D123:D124"/>
    <mergeCell ref="E123:E124"/>
    <mergeCell ref="D125:D126"/>
    <mergeCell ref="E125:E126"/>
    <mergeCell ref="D139:D140"/>
    <mergeCell ref="E139:E140"/>
    <mergeCell ref="D141:D142"/>
    <mergeCell ref="E141:E142"/>
    <mergeCell ref="D143:D144"/>
    <mergeCell ref="E143:E144"/>
    <mergeCell ref="D133:D134"/>
    <mergeCell ref="E133:E134"/>
    <mergeCell ref="D135:D136"/>
    <mergeCell ref="E135:E136"/>
    <mergeCell ref="D137:D138"/>
    <mergeCell ref="E137:E138"/>
    <mergeCell ref="D151:D152"/>
    <mergeCell ref="E151:E152"/>
    <mergeCell ref="D153:D154"/>
    <mergeCell ref="E153:E154"/>
    <mergeCell ref="D155:D156"/>
    <mergeCell ref="E155:E156"/>
    <mergeCell ref="D145:D146"/>
    <mergeCell ref="E145:E146"/>
    <mergeCell ref="D147:D148"/>
    <mergeCell ref="E147:E148"/>
    <mergeCell ref="D149:D150"/>
    <mergeCell ref="E149:E150"/>
    <mergeCell ref="D163:D164"/>
    <mergeCell ref="E163:E164"/>
    <mergeCell ref="D165:D166"/>
    <mergeCell ref="E165:E166"/>
    <mergeCell ref="D167:D168"/>
    <mergeCell ref="E167:E168"/>
    <mergeCell ref="D157:D158"/>
    <mergeCell ref="E157:E158"/>
    <mergeCell ref="D159:D160"/>
    <mergeCell ref="E159:E160"/>
    <mergeCell ref="D161:D162"/>
    <mergeCell ref="E161:E162"/>
    <mergeCell ref="D175:D176"/>
    <mergeCell ref="E175:E176"/>
    <mergeCell ref="D177:D178"/>
    <mergeCell ref="E177:E178"/>
    <mergeCell ref="D179:D180"/>
    <mergeCell ref="E179:E180"/>
    <mergeCell ref="D169:D170"/>
    <mergeCell ref="E169:E170"/>
    <mergeCell ref="D171:D172"/>
    <mergeCell ref="E171:E172"/>
    <mergeCell ref="D173:D174"/>
    <mergeCell ref="E173:E174"/>
    <mergeCell ref="D187:D188"/>
    <mergeCell ref="E187:E188"/>
    <mergeCell ref="D189:D190"/>
    <mergeCell ref="E189:E190"/>
    <mergeCell ref="D191:D192"/>
    <mergeCell ref="E191:E192"/>
    <mergeCell ref="D181:D182"/>
    <mergeCell ref="E181:E182"/>
    <mergeCell ref="D183:D184"/>
    <mergeCell ref="E183:E184"/>
    <mergeCell ref="D185:D186"/>
    <mergeCell ref="E185:E186"/>
    <mergeCell ref="D205:D206"/>
    <mergeCell ref="E205:E206"/>
    <mergeCell ref="D199:D200"/>
    <mergeCell ref="E199:E200"/>
    <mergeCell ref="D201:D202"/>
    <mergeCell ref="E201:E202"/>
    <mergeCell ref="D203:D204"/>
    <mergeCell ref="E203:E204"/>
    <mergeCell ref="D193:D194"/>
    <mergeCell ref="E193:E194"/>
    <mergeCell ref="D195:D196"/>
    <mergeCell ref="E195:E196"/>
    <mergeCell ref="D197:D198"/>
    <mergeCell ref="E197:E198"/>
  </mergeCells>
  <conditionalFormatting sqref="F7:Y112 F4:Y5 F114:Y134 K113:Y113 F136:Y206 K135:Y135">
    <cfRule type="expression" dxfId="29" priority="54" stopIfTrue="1">
      <formula>F4=0</formula>
    </cfRule>
  </conditionalFormatting>
  <conditionalFormatting sqref="F4:Y5">
    <cfRule type="expression" dxfId="28" priority="53" stopIfTrue="1">
      <formula>F4=0</formula>
    </cfRule>
  </conditionalFormatting>
  <conditionalFormatting sqref="F113:J113">
    <cfRule type="expression" dxfId="27" priority="28" stopIfTrue="1">
      <formula>F113=0</formula>
    </cfRule>
  </conditionalFormatting>
  <conditionalFormatting sqref="F113:J113">
    <cfRule type="expression" dxfId="26" priority="27" stopIfTrue="1">
      <formula>F113=0</formula>
    </cfRule>
  </conditionalFormatting>
  <conditionalFormatting sqref="F135:J135">
    <cfRule type="expression" dxfId="25" priority="26" stopIfTrue="1">
      <formula>F135=0</formula>
    </cfRule>
  </conditionalFormatting>
  <conditionalFormatting sqref="F135:J135">
    <cfRule type="expression" dxfId="24" priority="25" stopIfTrue="1">
      <formula>F135=0</formula>
    </cfRule>
  </conditionalFormatting>
  <conditionalFormatting sqref="AA14:AT15">
    <cfRule type="expression" dxfId="23" priority="24" stopIfTrue="1">
      <formula>AA14=0</formula>
    </cfRule>
  </conditionalFormatting>
  <conditionalFormatting sqref="AA14:AT15">
    <cfRule type="expression" dxfId="22" priority="23" stopIfTrue="1">
      <formula>AA14=0</formula>
    </cfRule>
  </conditionalFormatting>
  <conditionalFormatting sqref="AA17:AT18">
    <cfRule type="expression" dxfId="21" priority="22" stopIfTrue="1">
      <formula>AA17=0</formula>
    </cfRule>
  </conditionalFormatting>
  <conditionalFormatting sqref="AA17:AT18">
    <cfRule type="expression" dxfId="20" priority="21" stopIfTrue="1">
      <formula>AA17=0</formula>
    </cfRule>
  </conditionalFormatting>
  <conditionalFormatting sqref="AA20:AT21">
    <cfRule type="expression" dxfId="19" priority="20" stopIfTrue="1">
      <formula>AA20=0</formula>
    </cfRule>
  </conditionalFormatting>
  <conditionalFormatting sqref="AA20:AT21">
    <cfRule type="expression" dxfId="18" priority="19" stopIfTrue="1">
      <formula>AA20=0</formula>
    </cfRule>
  </conditionalFormatting>
  <conditionalFormatting sqref="AA23:AT24">
    <cfRule type="expression" dxfId="17" priority="18" stopIfTrue="1">
      <formula>AA23=0</formula>
    </cfRule>
  </conditionalFormatting>
  <conditionalFormatting sqref="AA23:AT24">
    <cfRule type="expression" dxfId="16" priority="17" stopIfTrue="1">
      <formula>AA23=0</formula>
    </cfRule>
  </conditionalFormatting>
  <conditionalFormatting sqref="AA26:AT27">
    <cfRule type="expression" dxfId="15" priority="16" stopIfTrue="1">
      <formula>AA26=0</formula>
    </cfRule>
  </conditionalFormatting>
  <conditionalFormatting sqref="AA26:AT27">
    <cfRule type="expression" dxfId="14" priority="15" stopIfTrue="1">
      <formula>AA26=0</formula>
    </cfRule>
  </conditionalFormatting>
  <conditionalFormatting sqref="AA29:AT30">
    <cfRule type="expression" dxfId="13" priority="14" stopIfTrue="1">
      <formula>AA29=0</formula>
    </cfRule>
  </conditionalFormatting>
  <conditionalFormatting sqref="AA29:AT30">
    <cfRule type="expression" dxfId="12" priority="13" stopIfTrue="1">
      <formula>AA29=0</formula>
    </cfRule>
  </conditionalFormatting>
  <conditionalFormatting sqref="AA32:AT33">
    <cfRule type="expression" dxfId="11" priority="12" stopIfTrue="1">
      <formula>AA32=0</formula>
    </cfRule>
  </conditionalFormatting>
  <conditionalFormatting sqref="AA32:AT33">
    <cfRule type="expression" dxfId="10" priority="11" stopIfTrue="1">
      <formula>AA32=0</formula>
    </cfRule>
  </conditionalFormatting>
  <conditionalFormatting sqref="AA35:AT36">
    <cfRule type="expression" dxfId="9" priority="10" stopIfTrue="1">
      <formula>AA35=0</formula>
    </cfRule>
  </conditionalFormatting>
  <conditionalFormatting sqref="AA35:AT36">
    <cfRule type="expression" dxfId="8" priority="9" stopIfTrue="1">
      <formula>AA35=0</formula>
    </cfRule>
  </conditionalFormatting>
  <conditionalFormatting sqref="AA38:AT39">
    <cfRule type="expression" dxfId="7" priority="8" stopIfTrue="1">
      <formula>AA38=0</formula>
    </cfRule>
  </conditionalFormatting>
  <conditionalFormatting sqref="AA38:AT39">
    <cfRule type="expression" dxfId="6" priority="7" stopIfTrue="1">
      <formula>AA38=0</formula>
    </cfRule>
  </conditionalFormatting>
  <conditionalFormatting sqref="AA41:AT42">
    <cfRule type="expression" dxfId="5" priority="6" stopIfTrue="1">
      <formula>AA41=0</formula>
    </cfRule>
  </conditionalFormatting>
  <conditionalFormatting sqref="AA41:AT42">
    <cfRule type="expression" dxfId="4" priority="5" stopIfTrue="1">
      <formula>AA41=0</formula>
    </cfRule>
  </conditionalFormatting>
  <conditionalFormatting sqref="AA44:AT45">
    <cfRule type="expression" dxfId="3" priority="4" stopIfTrue="1">
      <formula>AA44=0</formula>
    </cfRule>
  </conditionalFormatting>
  <conditionalFormatting sqref="AA44:AT45">
    <cfRule type="expression" dxfId="2" priority="3" stopIfTrue="1">
      <formula>AA44=0</formula>
    </cfRule>
  </conditionalFormatting>
  <conditionalFormatting sqref="AA47:AT48">
    <cfRule type="expression" dxfId="1" priority="2" stopIfTrue="1">
      <formula>AA47=0</formula>
    </cfRule>
  </conditionalFormatting>
  <conditionalFormatting sqref="AA47:AT48">
    <cfRule type="expression" dxfId="0" priority="1" stopIfTrue="1">
      <formula>AA47=0</formula>
    </cfRule>
  </conditionalFormatting>
  <pageMargins left="0.7" right="0.7" top="0.75" bottom="0.75" header="0.3" footer="0.3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66E9F6-6FF9-4BB5-AABE-13A0E0E9ADF4}">
  <dimension ref="B3:F15"/>
  <sheetViews>
    <sheetView zoomScale="160" zoomScaleNormal="160" workbookViewId="0">
      <selection activeCell="B18" sqref="B18"/>
    </sheetView>
  </sheetViews>
  <sheetFormatPr baseColWidth="10" defaultRowHeight="15.9" x14ac:dyDescent="0.45"/>
  <cols>
    <col min="1" max="1" width="2.35546875" customWidth="1"/>
  </cols>
  <sheetData>
    <row r="3" spans="2:6" x14ac:dyDescent="0.45">
      <c r="B3" s="13" t="s">
        <v>31</v>
      </c>
      <c r="C3" t="s">
        <v>35</v>
      </c>
      <c r="D3" s="13" t="s">
        <v>32</v>
      </c>
      <c r="E3" s="13" t="s">
        <v>33</v>
      </c>
      <c r="F3" s="13" t="s">
        <v>34</v>
      </c>
    </row>
    <row r="4" spans="2:6" x14ac:dyDescent="0.45">
      <c r="B4">
        <v>100</v>
      </c>
      <c r="C4">
        <v>4</v>
      </c>
      <c r="D4">
        <v>1492</v>
      </c>
      <c r="E4">
        <v>845</v>
      </c>
      <c r="F4" s="14">
        <f t="shared" ref="F4:F15" si="0">(D4-E4)/D4</f>
        <v>0.4336461126005362</v>
      </c>
    </row>
    <row r="5" spans="2:6" x14ac:dyDescent="0.45">
      <c r="B5">
        <v>100</v>
      </c>
      <c r="C5">
        <v>4</v>
      </c>
      <c r="D5">
        <v>1485</v>
      </c>
      <c r="E5">
        <v>834</v>
      </c>
      <c r="F5" s="14">
        <f t="shared" si="0"/>
        <v>0.43838383838383838</v>
      </c>
    </row>
    <row r="6" spans="2:6" x14ac:dyDescent="0.45">
      <c r="B6">
        <v>100</v>
      </c>
      <c r="C6">
        <v>4</v>
      </c>
      <c r="D6">
        <v>1486</v>
      </c>
      <c r="E6">
        <v>833</v>
      </c>
      <c r="F6" s="14">
        <f t="shared" si="0"/>
        <v>0.43943472409152085</v>
      </c>
    </row>
    <row r="7" spans="2:6" x14ac:dyDescent="0.45">
      <c r="B7">
        <v>500</v>
      </c>
      <c r="C7">
        <v>11</v>
      </c>
      <c r="D7">
        <v>32262</v>
      </c>
      <c r="E7">
        <v>8035</v>
      </c>
      <c r="F7" s="14">
        <f t="shared" si="0"/>
        <v>0.75094538466307115</v>
      </c>
    </row>
    <row r="8" spans="2:6" x14ac:dyDescent="0.45">
      <c r="B8">
        <v>500</v>
      </c>
      <c r="C8">
        <v>11</v>
      </c>
      <c r="D8">
        <v>32712</v>
      </c>
      <c r="E8">
        <v>8214</v>
      </c>
      <c r="F8" s="14">
        <f t="shared" si="0"/>
        <v>0.74889948642699922</v>
      </c>
    </row>
    <row r="9" spans="2:6" x14ac:dyDescent="0.45">
      <c r="B9">
        <v>500</v>
      </c>
      <c r="C9">
        <v>11</v>
      </c>
      <c r="D9">
        <v>31965</v>
      </c>
      <c r="E9">
        <v>8154</v>
      </c>
      <c r="F9" s="14">
        <f t="shared" si="0"/>
        <v>0.74490849366494605</v>
      </c>
    </row>
    <row r="10" spans="2:6" x14ac:dyDescent="0.45">
      <c r="B10">
        <v>500</v>
      </c>
      <c r="C10">
        <v>11</v>
      </c>
      <c r="D10">
        <v>33171</v>
      </c>
      <c r="E10">
        <v>8258</v>
      </c>
      <c r="F10" s="14">
        <f t="shared" si="0"/>
        <v>0.75104760182086761</v>
      </c>
    </row>
    <row r="11" spans="2:6" x14ac:dyDescent="0.45">
      <c r="B11">
        <v>1000</v>
      </c>
      <c r="C11">
        <v>20</v>
      </c>
      <c r="D11">
        <v>122295</v>
      </c>
      <c r="E11">
        <v>21197</v>
      </c>
      <c r="F11" s="14">
        <f t="shared" si="0"/>
        <v>0.82667320822601087</v>
      </c>
    </row>
    <row r="12" spans="2:6" x14ac:dyDescent="0.45">
      <c r="B12">
        <v>2000</v>
      </c>
      <c r="C12">
        <v>20</v>
      </c>
      <c r="D12">
        <v>496560</v>
      </c>
      <c r="E12">
        <v>59754</v>
      </c>
      <c r="F12" s="14">
        <f t="shared" si="0"/>
        <v>0.87966408893185111</v>
      </c>
    </row>
    <row r="13" spans="2:6" x14ac:dyDescent="0.45">
      <c r="B13">
        <v>2000</v>
      </c>
      <c r="C13">
        <v>25</v>
      </c>
      <c r="D13">
        <v>507638</v>
      </c>
      <c r="E13">
        <v>58787</v>
      </c>
      <c r="F13" s="14">
        <f t="shared" si="0"/>
        <v>0.88419503662058396</v>
      </c>
    </row>
    <row r="14" spans="2:6" x14ac:dyDescent="0.45">
      <c r="B14">
        <v>2000</v>
      </c>
      <c r="C14">
        <v>23</v>
      </c>
      <c r="D14">
        <v>495353</v>
      </c>
      <c r="E14">
        <v>58502</v>
      </c>
      <c r="F14" s="14">
        <f t="shared" si="0"/>
        <v>0.88189836338934058</v>
      </c>
    </row>
    <row r="15" spans="2:6" x14ac:dyDescent="0.45">
      <c r="B15">
        <v>3000</v>
      </c>
      <c r="C15">
        <v>23</v>
      </c>
      <c r="D15">
        <v>1118792</v>
      </c>
      <c r="E15">
        <v>110493</v>
      </c>
      <c r="F15" s="14">
        <f t="shared" si="0"/>
        <v>0.90123901493753977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265A5D-FC37-4C23-A45A-9C64C576F9F5}">
  <dimension ref="B4:O33"/>
  <sheetViews>
    <sheetView zoomScale="150" zoomScaleNormal="150" workbookViewId="0"/>
  </sheetViews>
  <sheetFormatPr baseColWidth="10" defaultColWidth="2.85546875" defaultRowHeight="12.45" x14ac:dyDescent="0.3"/>
  <cols>
    <col min="1" max="1" width="2.85546875" style="19"/>
    <col min="2" max="2" width="5.140625" style="19" customWidth="1"/>
    <col min="3" max="3" width="4.140625" style="19" customWidth="1"/>
    <col min="4" max="6" width="5.5" style="19" customWidth="1"/>
    <col min="7" max="7" width="7.5703125" style="19" bestFit="1" customWidth="1"/>
    <col min="8" max="8" width="5.92578125" style="19" customWidth="1"/>
    <col min="9" max="27" width="2.85546875" style="19"/>
    <col min="28" max="28" width="5.92578125" style="19" customWidth="1"/>
    <col min="29" max="32" width="6.2109375" style="19" customWidth="1"/>
    <col min="33" max="996" width="2.85546875" style="19"/>
    <col min="997" max="1024" width="10.7109375" style="19" customWidth="1"/>
    <col min="1025" max="16384" width="2.85546875" style="19"/>
  </cols>
  <sheetData>
    <row r="4" spans="2:15" x14ac:dyDescent="0.3">
      <c r="B4" s="19" t="s">
        <v>31</v>
      </c>
      <c r="C4" s="19">
        <v>20</v>
      </c>
      <c r="D4" s="19" t="s">
        <v>46</v>
      </c>
      <c r="O4" s="27" t="s">
        <v>0</v>
      </c>
    </row>
    <row r="5" spans="2:15" x14ac:dyDescent="0.3">
      <c r="B5" s="19" t="s">
        <v>35</v>
      </c>
      <c r="C5" s="19">
        <v>4</v>
      </c>
      <c r="D5" s="19" t="s">
        <v>45</v>
      </c>
      <c r="O5" s="27" t="s">
        <v>1</v>
      </c>
    </row>
    <row r="6" spans="2:15" x14ac:dyDescent="0.3">
      <c r="B6" s="19" t="s">
        <v>44</v>
      </c>
      <c r="C6" s="26">
        <f>C4/C5</f>
        <v>5</v>
      </c>
      <c r="D6" s="19" t="s">
        <v>43</v>
      </c>
      <c r="O6" s="27" t="s">
        <v>2</v>
      </c>
    </row>
    <row r="7" spans="2:15" x14ac:dyDescent="0.3">
      <c r="B7" s="19" t="s">
        <v>37</v>
      </c>
      <c r="C7" s="19">
        <f>INT(C6)</f>
        <v>5</v>
      </c>
      <c r="D7" s="19" t="s">
        <v>42</v>
      </c>
      <c r="O7" s="27" t="s">
        <v>3</v>
      </c>
    </row>
    <row r="8" spans="2:15" x14ac:dyDescent="0.3">
      <c r="O8" s="27" t="s">
        <v>4</v>
      </c>
    </row>
    <row r="9" spans="2:15" x14ac:dyDescent="0.3">
      <c r="D9" s="19" t="s">
        <v>41</v>
      </c>
      <c r="G9" s="24" t="s">
        <v>40</v>
      </c>
      <c r="O9" s="27" t="s">
        <v>5</v>
      </c>
    </row>
    <row r="10" spans="2:15" x14ac:dyDescent="0.3">
      <c r="D10" s="25" t="s">
        <v>39</v>
      </c>
      <c r="E10" s="25" t="s">
        <v>38</v>
      </c>
      <c r="F10" s="28" t="s">
        <v>37</v>
      </c>
      <c r="G10" s="24"/>
      <c r="O10" s="27" t="s">
        <v>6</v>
      </c>
    </row>
    <row r="11" spans="2:15" x14ac:dyDescent="0.3">
      <c r="B11" s="21" t="s">
        <v>36</v>
      </c>
      <c r="C11" s="21">
        <v>1</v>
      </c>
      <c r="D11" s="21">
        <v>1</v>
      </c>
      <c r="E11" s="23">
        <f>C7</f>
        <v>5</v>
      </c>
      <c r="F11" s="28">
        <f>E11-D11+1</f>
        <v>5</v>
      </c>
      <c r="G11" s="21">
        <f>$C$4-E11</f>
        <v>15</v>
      </c>
      <c r="O11" s="27" t="s">
        <v>7</v>
      </c>
    </row>
    <row r="12" spans="2:15" x14ac:dyDescent="0.3">
      <c r="B12" s="21" t="s">
        <v>36</v>
      </c>
      <c r="C12" s="21">
        <v>2</v>
      </c>
      <c r="D12" s="21">
        <f>E11+1</f>
        <v>6</v>
      </c>
      <c r="E12" s="22">
        <f>$E$11*C12</f>
        <v>10</v>
      </c>
      <c r="F12" s="28">
        <f>E12-D12+1</f>
        <v>5</v>
      </c>
      <c r="G12" s="21">
        <f>$C$4-E12</f>
        <v>10</v>
      </c>
      <c r="O12" s="27" t="s">
        <v>8</v>
      </c>
    </row>
    <row r="13" spans="2:15" x14ac:dyDescent="0.3">
      <c r="B13" s="21" t="s">
        <v>36</v>
      </c>
      <c r="C13" s="21">
        <v>3</v>
      </c>
      <c r="D13" s="21">
        <f>E12+1</f>
        <v>11</v>
      </c>
      <c r="E13" s="22">
        <f>$E$11*C13</f>
        <v>15</v>
      </c>
      <c r="F13" s="28">
        <f>E13-D13+1</f>
        <v>5</v>
      </c>
      <c r="G13" s="21">
        <f>$C$4-E13</f>
        <v>5</v>
      </c>
      <c r="O13" s="27" t="s">
        <v>9</v>
      </c>
    </row>
    <row r="14" spans="2:15" x14ac:dyDescent="0.3">
      <c r="B14" s="21" t="s">
        <v>36</v>
      </c>
      <c r="C14" s="21">
        <v>4</v>
      </c>
      <c r="D14" s="21">
        <f>E13+1</f>
        <v>16</v>
      </c>
      <c r="E14" s="20">
        <f>$E$11*C14</f>
        <v>20</v>
      </c>
      <c r="F14" s="28">
        <f>E14-D14+1</f>
        <v>5</v>
      </c>
      <c r="G14" s="21">
        <f>$C$4-E14</f>
        <v>0</v>
      </c>
      <c r="O14" s="27" t="s">
        <v>10</v>
      </c>
    </row>
    <row r="15" spans="2:15" x14ac:dyDescent="0.3">
      <c r="F15" s="20">
        <f>SUM(F11:F14)</f>
        <v>20</v>
      </c>
    </row>
    <row r="21" spans="2:7" x14ac:dyDescent="0.3">
      <c r="B21" s="19" t="s">
        <v>31</v>
      </c>
      <c r="C21" s="19">
        <v>117</v>
      </c>
      <c r="D21" s="19" t="s">
        <v>46</v>
      </c>
    </row>
    <row r="22" spans="2:7" x14ac:dyDescent="0.3">
      <c r="B22" s="19" t="s">
        <v>35</v>
      </c>
      <c r="C22" s="19">
        <v>5</v>
      </c>
      <c r="D22" s="19" t="s">
        <v>45</v>
      </c>
    </row>
    <row r="23" spans="2:7" x14ac:dyDescent="0.3">
      <c r="B23" s="19" t="s">
        <v>44</v>
      </c>
      <c r="C23" s="26">
        <f>C21/C22</f>
        <v>23.4</v>
      </c>
      <c r="D23" s="19" t="s">
        <v>43</v>
      </c>
    </row>
    <row r="24" spans="2:7" x14ac:dyDescent="0.3">
      <c r="B24" s="19" t="s">
        <v>37</v>
      </c>
      <c r="C24" s="19">
        <f>INT(C23)</f>
        <v>23</v>
      </c>
      <c r="D24" s="19" t="s">
        <v>42</v>
      </c>
    </row>
    <row r="26" spans="2:7" ht="12.45" customHeight="1" x14ac:dyDescent="0.3">
      <c r="D26" s="19" t="s">
        <v>41</v>
      </c>
      <c r="G26" s="24" t="s">
        <v>40</v>
      </c>
    </row>
    <row r="27" spans="2:7" x14ac:dyDescent="0.3">
      <c r="D27" s="25" t="s">
        <v>39</v>
      </c>
      <c r="E27" s="25" t="s">
        <v>38</v>
      </c>
      <c r="F27" s="21" t="s">
        <v>37</v>
      </c>
      <c r="G27" s="24"/>
    </row>
    <row r="28" spans="2:7" x14ac:dyDescent="0.3">
      <c r="B28" s="21" t="s">
        <v>36</v>
      </c>
      <c r="C28" s="21">
        <v>1</v>
      </c>
      <c r="D28" s="21">
        <v>1</v>
      </c>
      <c r="E28" s="23">
        <f>C24</f>
        <v>23</v>
      </c>
      <c r="F28" s="21">
        <f>E28-D28+1</f>
        <v>23</v>
      </c>
      <c r="G28" s="21">
        <f>$C$21-E28</f>
        <v>94</v>
      </c>
    </row>
    <row r="29" spans="2:7" x14ac:dyDescent="0.3">
      <c r="B29" s="21" t="s">
        <v>36</v>
      </c>
      <c r="C29" s="21">
        <v>2</v>
      </c>
      <c r="D29" s="21">
        <f>E28+1</f>
        <v>24</v>
      </c>
      <c r="E29" s="22">
        <f>$E$28*C29</f>
        <v>46</v>
      </c>
      <c r="F29" s="21">
        <f>E29-D29+1</f>
        <v>23</v>
      </c>
      <c r="G29" s="21">
        <f>$C$21-E29</f>
        <v>71</v>
      </c>
    </row>
    <row r="30" spans="2:7" x14ac:dyDescent="0.3">
      <c r="B30" s="21" t="s">
        <v>36</v>
      </c>
      <c r="C30" s="21">
        <v>3</v>
      </c>
      <c r="D30" s="21">
        <f>E29+1</f>
        <v>47</v>
      </c>
      <c r="E30" s="22">
        <f>$E$28*C30</f>
        <v>69</v>
      </c>
      <c r="F30" s="21">
        <f>E30-D30+1</f>
        <v>23</v>
      </c>
      <c r="G30" s="21">
        <f>$C$21-E30</f>
        <v>48</v>
      </c>
    </row>
    <row r="31" spans="2:7" x14ac:dyDescent="0.3">
      <c r="B31" s="21" t="s">
        <v>36</v>
      </c>
      <c r="C31" s="21">
        <v>4</v>
      </c>
      <c r="D31" s="21">
        <f>E30+1</f>
        <v>70</v>
      </c>
      <c r="E31" s="22">
        <f>$E$28*C31</f>
        <v>92</v>
      </c>
      <c r="F31" s="21">
        <f>E31-D31+1</f>
        <v>23</v>
      </c>
      <c r="G31" s="21">
        <f>$C$21-E31</f>
        <v>25</v>
      </c>
    </row>
    <row r="32" spans="2:7" x14ac:dyDescent="0.3">
      <c r="B32" s="21" t="s">
        <v>36</v>
      </c>
      <c r="C32" s="21">
        <v>5</v>
      </c>
      <c r="D32" s="21">
        <f>E31+1</f>
        <v>93</v>
      </c>
      <c r="E32" s="20">
        <f>C21</f>
        <v>117</v>
      </c>
      <c r="F32" s="21">
        <f>E32-D32+1</f>
        <v>25</v>
      </c>
      <c r="G32" s="21">
        <f>$C$21-E32</f>
        <v>0</v>
      </c>
    </row>
    <row r="33" spans="6:6" x14ac:dyDescent="0.3">
      <c r="F33" s="20">
        <f>SUM(F28:F32)</f>
        <v>117</v>
      </c>
    </row>
  </sheetData>
  <mergeCells count="2">
    <mergeCell ref="G9:G10"/>
    <mergeCell ref="G26:G27"/>
  </mergeCells>
  <pageMargins left="0.78749999999999998" right="0.78749999999999998" top="1.05277777777778" bottom="1.05277777777778" header="0.78749999999999998" footer="0.78749999999999998"/>
  <pageSetup paperSize="9" orientation="portrait" horizontalDpi="300" verticalDpi="300"/>
  <headerFooter>
    <oddHeader>&amp;C&amp;"Times New Roman,Normal"&amp;12&amp;A</oddHeader>
    <oddFooter>&amp;C&amp;"Times New Roman,Normal"&amp;12Página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Sheet1</vt:lpstr>
      <vt:lpstr>Sheet2</vt:lpstr>
      <vt:lpstr>Sheet3</vt:lpstr>
      <vt:lpstr>Sheet4</vt:lpstr>
      <vt:lpstr>Hoja2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apa</cp:lastModifiedBy>
  <dcterms:created xsi:type="dcterms:W3CDTF">2022-11-26T17:32:18Z</dcterms:created>
  <dcterms:modified xsi:type="dcterms:W3CDTF">2022-12-26T22:39:15Z</dcterms:modified>
</cp:coreProperties>
</file>