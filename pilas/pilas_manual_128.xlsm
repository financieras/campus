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a\Dropbox\42\"/>
    </mc:Choice>
  </mc:AlternateContent>
  <xr:revisionPtr revIDLastSave="0" documentId="13_ncr:1_{8110D2FE-1BEF-494F-97C7-45851706FA89}" xr6:coauthVersionLast="47" xr6:coauthVersionMax="47" xr10:uidLastSave="{00000000-0000-0000-0000-000000000000}"/>
  <bookViews>
    <workbookView xWindow="-98" yWindow="-98" windowWidth="28996" windowHeight="16395" xr2:uid="{6E5DE1DC-1E6B-8F4A-88B5-625A8BD4E0CB}"/>
  </bookViews>
  <sheets>
    <sheet name="Sheet1" sheetId="2" r:id="rId1"/>
    <sheet name="Hoja4" sheetId="12" r:id="rId2"/>
    <sheet name="Hoja3" sheetId="11" r:id="rId3"/>
    <sheet name="Sheet3" sheetId="3" r:id="rId4"/>
    <sheet name="Sheet4" sheetId="4" r:id="rId5"/>
    <sheet name="Hoja2" sheetId="5" r:id="rId6"/>
    <sheet name="Sheet1_64" sheetId="8" r:id="rId7"/>
    <sheet name="Hoja1" sheetId="9" r:id="rId8"/>
    <sheet name="Hoja1 (2)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D7" i="11" l="1"/>
  <c r="ED8" i="11"/>
  <c r="ED9" i="11" s="1"/>
  <c r="ED10" i="11" s="1"/>
  <c r="ED11" i="11" s="1"/>
  <c r="ED12" i="11" s="1"/>
  <c r="ED13" i="11" s="1"/>
  <c r="ED14" i="11" s="1"/>
  <c r="ED15" i="11" s="1"/>
  <c r="ED16" i="11" s="1"/>
  <c r="ED17" i="11" s="1"/>
  <c r="ED18" i="11" s="1"/>
  <c r="ED19" i="11" s="1"/>
  <c r="ED20" i="11" s="1"/>
  <c r="ED21" i="11" s="1"/>
  <c r="ED22" i="11" s="1"/>
  <c r="ED23" i="11" s="1"/>
  <c r="ED24" i="11" s="1"/>
  <c r="ED25" i="11" s="1"/>
  <c r="ED26" i="11" s="1"/>
  <c r="ED27" i="11" s="1"/>
  <c r="ED28" i="11" s="1"/>
  <c r="ED29" i="11" s="1"/>
  <c r="ED30" i="11" s="1"/>
  <c r="ED31" i="11" s="1"/>
  <c r="ED32" i="11" s="1"/>
  <c r="ED33" i="11" s="1"/>
  <c r="ED34" i="11" s="1"/>
  <c r="ED35" i="11" s="1"/>
  <c r="ED36" i="11" s="1"/>
  <c r="ED37" i="11" s="1"/>
  <c r="ED38" i="11" s="1"/>
  <c r="ED39" i="11" s="1"/>
  <c r="ED40" i="11" s="1"/>
  <c r="ED41" i="11" s="1"/>
  <c r="ED42" i="11" s="1"/>
  <c r="ED43" i="11" s="1"/>
  <c r="ED44" i="11" s="1"/>
  <c r="ED45" i="11" s="1"/>
  <c r="ED46" i="11" s="1"/>
  <c r="ED47" i="11" s="1"/>
  <c r="ED48" i="11" s="1"/>
  <c r="ED49" i="11" s="1"/>
  <c r="ED50" i="11" s="1"/>
  <c r="ED51" i="11" s="1"/>
  <c r="ED52" i="11" s="1"/>
  <c r="ED53" i="11" s="1"/>
  <c r="ED54" i="11" s="1"/>
  <c r="ED55" i="11" s="1"/>
  <c r="ED56" i="11" s="1"/>
  <c r="ED57" i="11" s="1"/>
  <c r="ED58" i="11" s="1"/>
  <c r="ED59" i="11" s="1"/>
  <c r="ED60" i="11" s="1"/>
  <c r="ED61" i="11" s="1"/>
  <c r="ED62" i="11" s="1"/>
  <c r="ED63" i="11" s="1"/>
  <c r="ED64" i="11" s="1"/>
  <c r="ED5" i="11"/>
  <c r="ED6" i="11" s="1"/>
  <c r="EC64" i="11"/>
  <c r="EC63" i="11"/>
  <c r="EC62" i="11"/>
  <c r="EC61" i="11"/>
  <c r="EC60" i="11"/>
  <c r="EC59" i="11"/>
  <c r="EC58" i="11"/>
  <c r="EC57" i="11"/>
  <c r="EC56" i="11"/>
  <c r="EC55" i="11"/>
  <c r="EC54" i="11"/>
  <c r="EC53" i="11"/>
  <c r="EC52" i="11"/>
  <c r="EC51" i="11"/>
  <c r="EC50" i="11"/>
  <c r="EC49" i="11"/>
  <c r="EC48" i="11"/>
  <c r="EC47" i="11"/>
  <c r="EC46" i="11"/>
  <c r="EC45" i="11"/>
  <c r="EC44" i="11"/>
  <c r="EC43" i="11"/>
  <c r="EC42" i="11"/>
  <c r="EC41" i="11"/>
  <c r="EC40" i="11"/>
  <c r="EC39" i="11"/>
  <c r="EC38" i="11"/>
  <c r="EC37" i="11"/>
  <c r="EC36" i="11"/>
  <c r="EC3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CT5" i="11"/>
  <c r="AS7" i="11"/>
  <c r="AS8" i="11" s="1"/>
  <c r="AS9" i="11" s="1"/>
  <c r="AS10" i="11" s="1"/>
  <c r="AS11" i="11" s="1"/>
  <c r="AS12" i="11" s="1"/>
  <c r="AS13" i="11" s="1"/>
  <c r="AS14" i="11" s="1"/>
  <c r="AS15" i="11" s="1"/>
  <c r="AS16" i="11" s="1"/>
  <c r="AS17" i="11" s="1"/>
  <c r="AS18" i="11" s="1"/>
  <c r="AS19" i="11" s="1"/>
  <c r="AS20" i="11" s="1"/>
  <c r="AS21" i="11" s="1"/>
  <c r="AS22" i="11" s="1"/>
  <c r="AS23" i="11" s="1"/>
  <c r="AS24" i="11" s="1"/>
  <c r="AS25" i="11" s="1"/>
  <c r="AS26" i="11" s="1"/>
  <c r="AS27" i="11" s="1"/>
  <c r="AS28" i="11" s="1"/>
  <c r="AS29" i="11" s="1"/>
  <c r="AS30" i="11" s="1"/>
  <c r="AS31" i="11" s="1"/>
  <c r="AS32" i="11" s="1"/>
  <c r="AS33" i="11" s="1"/>
  <c r="AS34" i="11" s="1"/>
  <c r="AS6" i="11"/>
  <c r="AS5" i="11"/>
  <c r="AL6" i="11"/>
  <c r="AM6" i="11" s="1"/>
  <c r="AL7" i="11" s="1"/>
  <c r="AM7" i="11" s="1"/>
  <c r="AL8" i="11" s="1"/>
  <c r="AM8" i="11" s="1"/>
  <c r="AL9" i="11" s="1"/>
  <c r="AM9" i="11" s="1"/>
  <c r="AM4" i="11"/>
  <c r="AL5" i="11" s="1"/>
  <c r="AM5" i="11" s="1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F109" i="9" s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F125" i="9" s="1"/>
  <c r="F126" i="9" s="1"/>
  <c r="F127" i="9" s="1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28" i="9"/>
  <c r="B13" i="2"/>
  <c r="A14" i="2" s="1"/>
  <c r="B14" i="2" s="1"/>
  <c r="A15" i="2" s="1"/>
  <c r="B15" i="2" s="1"/>
  <c r="A16" i="2" s="1"/>
  <c r="B16" i="2" s="1"/>
  <c r="A17" i="2" s="1"/>
  <c r="B17" i="2" s="1"/>
  <c r="A18" i="2" s="1"/>
  <c r="B18" i="2" s="1"/>
  <c r="A19" i="2" s="1"/>
  <c r="B19" i="2" s="1"/>
  <c r="A20" i="2" s="1"/>
  <c r="B20" i="2" s="1"/>
  <c r="A21" i="2" s="1"/>
  <c r="B21" i="2" s="1"/>
  <c r="A22" i="2" s="1"/>
  <c r="B22" i="2" s="1"/>
  <c r="A23" i="2" s="1"/>
  <c r="B23" i="2" s="1"/>
  <c r="A24" i="2" s="1"/>
  <c r="B24" i="2" s="1"/>
  <c r="B9" i="2"/>
  <c r="B11" i="2" s="1"/>
  <c r="C6" i="5"/>
  <c r="C7" i="5"/>
  <c r="E11" i="5" s="1"/>
  <c r="C23" i="5"/>
  <c r="C24" i="5" s="1"/>
  <c r="E28" i="5" s="1"/>
  <c r="E32" i="5"/>
  <c r="G32" i="5"/>
  <c r="F15" i="4"/>
  <c r="F14" i="4"/>
  <c r="F13" i="4"/>
  <c r="F12" i="4"/>
  <c r="F11" i="4"/>
  <c r="F10" i="4"/>
  <c r="F9" i="4"/>
  <c r="F8" i="4"/>
  <c r="F7" i="4"/>
  <c r="F6" i="4"/>
  <c r="F5" i="4"/>
  <c r="F4" i="4"/>
  <c r="E29" i="5" l="1"/>
  <c r="E30" i="5"/>
  <c r="E31" i="5"/>
  <c r="F28" i="5"/>
  <c r="G28" i="5"/>
  <c r="D29" i="5"/>
  <c r="F11" i="5"/>
  <c r="E14" i="5"/>
  <c r="G11" i="5"/>
  <c r="D12" i="5"/>
  <c r="E12" i="5"/>
  <c r="E13" i="5"/>
  <c r="D205" i="3"/>
  <c r="D203" i="3"/>
  <c r="D201" i="3"/>
  <c r="D199" i="3"/>
  <c r="D197" i="3"/>
  <c r="D195" i="3"/>
  <c r="D193" i="3"/>
  <c r="D191" i="3"/>
  <c r="D189" i="3"/>
  <c r="D187" i="3"/>
  <c r="D7" i="3"/>
  <c r="D9" i="3" s="1"/>
  <c r="D11" i="3" s="1"/>
  <c r="D13" i="3" s="1"/>
  <c r="D15" i="3" s="1"/>
  <c r="D17" i="3" s="1"/>
  <c r="D19" i="3" s="1"/>
  <c r="D21" i="3" s="1"/>
  <c r="D23" i="3" s="1"/>
  <c r="D25" i="3" s="1"/>
  <c r="D27" i="3" s="1"/>
  <c r="D29" i="3" s="1"/>
  <c r="D31" i="3" s="1"/>
  <c r="D33" i="3" s="1"/>
  <c r="D35" i="3" s="1"/>
  <c r="D37" i="3" s="1"/>
  <c r="D39" i="3" s="1"/>
  <c r="D41" i="3" s="1"/>
  <c r="D43" i="3" s="1"/>
  <c r="D45" i="3" s="1"/>
  <c r="D47" i="3" s="1"/>
  <c r="D49" i="3" s="1"/>
  <c r="D51" i="3" s="1"/>
  <c r="D53" i="3" s="1"/>
  <c r="D55" i="3" s="1"/>
  <c r="D57" i="3" s="1"/>
  <c r="D59" i="3" s="1"/>
  <c r="D61" i="3" s="1"/>
  <c r="D63" i="3" s="1"/>
  <c r="D65" i="3" s="1"/>
  <c r="D67" i="3" s="1"/>
  <c r="D69" i="3" s="1"/>
  <c r="D71" i="3" s="1"/>
  <c r="D73" i="3" s="1"/>
  <c r="D75" i="3" s="1"/>
  <c r="D77" i="3" s="1"/>
  <c r="D79" i="3" s="1"/>
  <c r="D81" i="3" s="1"/>
  <c r="D83" i="3" s="1"/>
  <c r="D85" i="3" s="1"/>
  <c r="D87" i="3" s="1"/>
  <c r="D89" i="3" s="1"/>
  <c r="D91" i="3" s="1"/>
  <c r="D93" i="3" s="1"/>
  <c r="D95" i="3" s="1"/>
  <c r="D97" i="3" s="1"/>
  <c r="D99" i="3" s="1"/>
  <c r="D101" i="3" s="1"/>
  <c r="D103" i="3" s="1"/>
  <c r="D105" i="3" s="1"/>
  <c r="D107" i="3" s="1"/>
  <c r="D109" i="3" s="1"/>
  <c r="D111" i="3" s="1"/>
  <c r="D113" i="3" s="1"/>
  <c r="D115" i="3" s="1"/>
  <c r="D117" i="3" s="1"/>
  <c r="D119" i="3" s="1"/>
  <c r="D121" i="3" s="1"/>
  <c r="D123" i="3" s="1"/>
  <c r="D125" i="3" s="1"/>
  <c r="D127" i="3" s="1"/>
  <c r="D129" i="3" s="1"/>
  <c r="D131" i="3" s="1"/>
  <c r="D133" i="3" s="1"/>
  <c r="D135" i="3" s="1"/>
  <c r="D137" i="3" s="1"/>
  <c r="D139" i="3" s="1"/>
  <c r="D141" i="3" s="1"/>
  <c r="D143" i="3" s="1"/>
  <c r="D145" i="3" s="1"/>
  <c r="D147" i="3" s="1"/>
  <c r="D149" i="3" s="1"/>
  <c r="D151" i="3" s="1"/>
  <c r="D153" i="3" s="1"/>
  <c r="D155" i="3" s="1"/>
  <c r="D157" i="3" s="1"/>
  <c r="D159" i="3" s="1"/>
  <c r="D161" i="3" s="1"/>
  <c r="D163" i="3" s="1"/>
  <c r="D165" i="3" s="1"/>
  <c r="D167" i="3" s="1"/>
  <c r="D169" i="3" s="1"/>
  <c r="D171" i="3" s="1"/>
  <c r="D173" i="3" s="1"/>
  <c r="D175" i="3" s="1"/>
  <c r="D177" i="3" s="1"/>
  <c r="D179" i="3" s="1"/>
  <c r="D181" i="3" s="1"/>
  <c r="D183" i="3" s="1"/>
  <c r="D185" i="3" s="1"/>
  <c r="G14" i="5" l="1"/>
  <c r="D14" i="5"/>
  <c r="F14" i="5" s="1"/>
  <c r="G13" i="5"/>
  <c r="G12" i="5"/>
  <c r="D13" i="5"/>
  <c r="F13" i="5" s="1"/>
  <c r="F15" i="5" s="1"/>
  <c r="F12" i="5"/>
  <c r="D32" i="5"/>
  <c r="F32" i="5" s="1"/>
  <c r="G31" i="5"/>
  <c r="F30" i="5"/>
  <c r="F33" i="5" s="1"/>
  <c r="G30" i="5"/>
  <c r="D31" i="5"/>
  <c r="F31" i="5" s="1"/>
  <c r="F29" i="5"/>
  <c r="G29" i="5"/>
  <c r="D30" i="5"/>
</calcChain>
</file>

<file path=xl/sharedStrings.xml><?xml version="1.0" encoding="utf-8"?>
<sst xmlns="http://schemas.openxmlformats.org/spreadsheetml/2006/main" count="844" uniqueCount="81">
  <si>
    <r>
      <t>sa</t>
    </r>
    <r>
      <rPr>
        <sz val="10"/>
        <color rgb="FF000000"/>
        <rFont val="Helvetica"/>
        <family val="2"/>
      </rPr>
      <t> : swap a - intercambia los dos primeros elementos encima del stack a. No hace nada si hay uno o menos elementos.</t>
    </r>
  </si>
  <si>
    <r>
      <t>sb</t>
    </r>
    <r>
      <rPr>
        <sz val="10"/>
        <color rgb="FF000000"/>
        <rFont val="Helvetica"/>
        <family val="2"/>
      </rPr>
      <t> : swap b - intercambia los dos primeros elementos encima del stack b. No hace nada si hay uno o menos elementos.</t>
    </r>
  </si>
  <si>
    <r>
      <t>ss</t>
    </r>
    <r>
      <rPr>
        <sz val="10"/>
        <color rgb="FF000000"/>
        <rFont val="Helvetica"/>
        <family val="2"/>
      </rPr>
      <t> : swap a y swap b a la vez.</t>
    </r>
  </si>
  <si>
    <r>
      <t>pa</t>
    </r>
    <r>
      <rPr>
        <sz val="10"/>
        <color rgb="FF000000"/>
        <rFont val="Helvetica"/>
        <family val="2"/>
      </rPr>
      <t> : push a - toma el primer elemento del stack b y lo pone encima del stack a. No hace nada si b está vacío.</t>
    </r>
  </si>
  <si>
    <r>
      <t>pb</t>
    </r>
    <r>
      <rPr>
        <sz val="10"/>
        <color rgb="FF000000"/>
        <rFont val="Helvetica"/>
        <family val="2"/>
      </rPr>
      <t> : push b - toma el primer elemento del stack a y lo pone encima del stack b. No hace nada si a está vacío.</t>
    </r>
  </si>
  <si>
    <r>
      <t>ra</t>
    </r>
    <r>
      <rPr>
        <sz val="10"/>
        <color rgb="FF000000"/>
        <rFont val="Helvetica"/>
        <family val="2"/>
      </rPr>
      <t> : rotate a - desplaza hacia arriba todos los elementos del stack a una posición, de forma que el primer elemento se convierte en el último.</t>
    </r>
  </si>
  <si>
    <r>
      <t>rb</t>
    </r>
    <r>
      <rPr>
        <sz val="10"/>
        <color rgb="FF000000"/>
        <rFont val="Helvetica"/>
        <family val="2"/>
      </rPr>
      <t> : rotate b - desplaza hacia arriba todos los elementos del stack b una posición, de forma que el primer elemento se convierte en el último.</t>
    </r>
  </si>
  <si>
    <r>
      <t>rr</t>
    </r>
    <r>
      <rPr>
        <sz val="10"/>
        <color rgb="FF000000"/>
        <rFont val="Helvetica"/>
        <family val="2"/>
      </rPr>
      <t> : rotate a y rotate b - desplaza al mismo tiempo todos los elementos del stack a y del stack b una posición hacia arriba, de forma que el primer elemento se convierte en el último.</t>
    </r>
  </si>
  <si>
    <r>
      <t>rra</t>
    </r>
    <r>
      <rPr>
        <sz val="10"/>
        <color rgb="FF000000"/>
        <rFont val="Helvetica"/>
        <family val="2"/>
      </rPr>
      <t> : reverse rotate a - desplaza hacia abajo todos los elementos del stack a una posición, de forma que el último elemento se convierte en el primero.</t>
    </r>
  </si>
  <si>
    <r>
      <t>rrb</t>
    </r>
    <r>
      <rPr>
        <sz val="10"/>
        <color rgb="FF000000"/>
        <rFont val="Helvetica"/>
        <family val="2"/>
      </rPr>
      <t> : reverse rotate b - desplaza hacia abajo todos los elementos del stack b una posición, de forma que el último elemento se convierte en el primero.</t>
    </r>
  </si>
  <si>
    <r>
      <t>rrr</t>
    </r>
    <r>
      <rPr>
        <sz val="10"/>
        <color rgb="FF000000"/>
        <rFont val="Helvetica"/>
        <family val="2"/>
      </rPr>
      <t> : reverse rotate a y reverse rotate b - desplaza al mismo tiempo todos los elementos del stack a y del stack b una posición hacia abajo, de forma que el último elemento se convierte en el primero.</t>
    </r>
  </si>
  <si>
    <t>Inicio</t>
  </si>
  <si>
    <t>ra</t>
  </si>
  <si>
    <t>pb</t>
  </si>
  <si>
    <t>rb</t>
  </si>
  <si>
    <t>pa</t>
  </si>
  <si>
    <t>rrb</t>
  </si>
  <si>
    <t>sb</t>
  </si>
  <si>
    <t>sa</t>
  </si>
  <si>
    <t>rra</t>
  </si>
  <si>
    <t>Hasta que en B queden ordenados decrecientemente.</t>
  </si>
  <si>
    <t>Pasamos de B a A los del tramo1, comenzando por el mayor: 5</t>
  </si>
  <si>
    <t>Separamos el tramo2, va de A a B</t>
  </si>
  <si>
    <t>Separamos el tramo1, va de A a B</t>
  </si>
  <si>
    <t>Pasamos de B a A los del tramo2, comenzando por el mayor: 10</t>
  </si>
  <si>
    <t>Separamos el tramo3, va de A a B</t>
  </si>
  <si>
    <t>Pasamos de B a A los del tramo2, comenzando por el mayor: 15</t>
  </si>
  <si>
    <t>Último tramo, se llevan de A a B comenzando por el menor: 16</t>
  </si>
  <si>
    <t>Hasta que en A queden ordenados</t>
  </si>
  <si>
    <t>Fin: quedarán ordenados en A</t>
  </si>
  <si>
    <t>Se llevan todos los de B a A con pa, pa, pa, …</t>
  </si>
  <si>
    <t>n</t>
  </si>
  <si>
    <t>primero</t>
  </si>
  <si>
    <t>segundo</t>
  </si>
  <si>
    <t>mejora</t>
  </si>
  <si>
    <t>s</t>
  </si>
  <si>
    <t>tramo</t>
  </si>
  <si>
    <t>ancho</t>
  </si>
  <si>
    <t>fin</t>
  </si>
  <si>
    <t>inicio</t>
  </si>
  <si>
    <t>restantes en A</t>
  </si>
  <si>
    <t>enteros</t>
  </si>
  <si>
    <t>parte entera de n/s</t>
  </si>
  <si>
    <t>cuántos números hay en cada tramo</t>
  </si>
  <si>
    <t>n/s</t>
  </si>
  <si>
    <t>número de tramos en los que dividir nuestro trabajo</t>
  </si>
  <si>
    <t>números totales, inicialmente todos en A</t>
  </si>
  <si>
    <t>P</t>
  </si>
  <si>
    <t>A</t>
  </si>
  <si>
    <t>t</t>
  </si>
  <si>
    <t>n/s/t</t>
  </si>
  <si>
    <t>B</t>
  </si>
  <si>
    <t>n/t</t>
  </si>
  <si>
    <t>contador: 38</t>
  </si>
  <si>
    <t>a_original</t>
  </si>
  <si>
    <t>LIS</t>
  </si>
  <si>
    <t>a</t>
  </si>
  <si>
    <t>b</t>
  </si>
  <si>
    <t>nlis</t>
  </si>
  <si>
    <t>PROCEDIMIENTO SEGUNDO: 910</t>
  </si>
  <si>
    <t>n=100</t>
  </si>
  <si>
    <t>35,90,6,15,7,40,85,63,50,13,45,8,76,33,25,27,42,20,94,48,91,29,95,77,82,98,86,69,60,58,79,55,24,12,28,93,73,54,84,44,10,75,3,32,89,52,51,16,56,70,22,11,59,68,100,96,71,21,26,38,1,46,92,36,88,31,66,34,74,23,5,9,43,49,37,80,18,17,67,83,78,61,47,57,64,81,97,53,65,30,2,99,14,87,39,19,72,4,62,41</t>
  </si>
  <si>
    <t>PROCEDIMIENTO PRIMERO: 1533</t>
  </si>
  <si>
    <t>TRAMOS = 6</t>
  </si>
  <si>
    <t>[6, 7, 13, 25, 27, 42, 48, 55, 56, 59, 68, 71, 74, 80, 83, 97, 99]</t>
  </si>
  <si>
    <t>[35, 90, 6, 15, 7, 40, 85, 63, 50, 13, 45, 8, 76, 33, 25, 27, 42, 20, 94, 48, 91, 29, 95, 77, 82, 98, 86, 69, 60, 58, 79, 55, 24, 12, 28, 93, 73, 54, 84, 44, 10, 75, 3, 32, 89, 52, 51, 16, 56, 70, 22, 11, 59, 68, 100, 96, 71, 21, 26, 38, 1, 46, 92, 36, 88, 31, 66, 34, 74, 23, 5, 9, 43, 49, 37, 80, 18, 17, 67, 83, 78, 61, 47, 57, 64, 81, 97, 53, 65, 30, 2, 99, 14, 87, 39, 19, 72, 4, 62, 41]</t>
  </si>
  <si>
    <t>[14, 87, 39, 19, 72, 4, 62, 41, 35, 90, 15, 40, 85, 63, 50, 45, 8, 76, 33, 20, 94, 91, 29, 95, 77, 82, 98, 86, 69, 60, 58, 79, 24, 12, 28, 93, 73, 54, 84, 44, 10, 75, 3, 32, 89, 52, 51, 16, 70, 22, 11, 100, 96, 21, 26, 38, 1, 46, 92, 36, 88, 31, 66, 34, 23, 5, 9, 43, 49, 37, 18, 17, 67, 78, 61, 47, 57, 64, 81, 53, 65, 30, 2]</t>
  </si>
  <si>
    <t>[99, 97, 83, 80, 74, 71, 68, 59, 56, 55, 48, 42, 27, 25, 13, 7, 6]</t>
  </si>
  <si>
    <t>contador: 92</t>
  </si>
  <si>
    <t>nlis = 17</t>
  </si>
  <si>
    <t>n = 100</t>
  </si>
  <si>
    <t>t1</t>
  </si>
  <si>
    <t>t6</t>
  </si>
  <si>
    <t>t2</t>
  </si>
  <si>
    <t>t3</t>
  </si>
  <si>
    <t>t4</t>
  </si>
  <si>
    <t>t5</t>
  </si>
  <si>
    <t>18,5,11,14,15,2,28,30,6,20,10,4,25,9,8,23,3,13,27,24,1,19,22,21,16,17,7,26,29,12</t>
  </si>
  <si>
    <t>18,5,11,14,15,2,28,30,6,20,10,4,25,9,8,23,3,13,27,24,1,19,22,21,16,17,7,26,29,12,48,35,41,44,45,32,58,60,36,50,40,34,55,39,38,53,33,43,57,54,31,49,52,51,46,47,37,56,59,42</t>
  </si>
  <si>
    <t>5, 11, 14, 15, 20, 23, 24, 26, 29, 35, 41, 44, 45, 50, 53, 54, 56, 59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</si>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</sst>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  <family val="2"/>
    </font>
    <font>
      <sz val="10"/>
      <color rgb="FF000000"/>
      <name val="Helvetica"/>
      <family val="2"/>
    </font>
    <font>
      <i/>
      <sz val="8"/>
      <color theme="1"/>
      <name val="Cambria"/>
      <family val="1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1"/>
    </font>
    <font>
      <i/>
      <sz val="6"/>
      <color theme="1"/>
      <name val="Cambria"/>
      <family val="1"/>
    </font>
    <font>
      <i/>
      <sz val="9"/>
      <color theme="1"/>
      <name val="Cambria"/>
      <family val="1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onsolas"/>
      <family val="3"/>
    </font>
    <font>
      <sz val="8"/>
      <name val="Calibri"/>
      <family val="2"/>
      <scheme val="minor"/>
    </font>
    <font>
      <sz val="10"/>
      <color theme="1"/>
      <name val="Candara"/>
      <family val="2"/>
    </font>
    <font>
      <b/>
      <sz val="12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2F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B66C"/>
        <bgColor rgb="FFFFCC00"/>
      </patternFill>
    </fill>
    <fill>
      <patternFill patternType="solid">
        <fgColor rgb="FF81D41A"/>
        <bgColor rgb="FF999999"/>
      </patternFill>
    </fill>
    <fill>
      <patternFill patternType="solid">
        <fgColor rgb="FFE8F2A1"/>
        <bgColor rgb="FFCCFFCC"/>
      </patternFill>
    </fill>
    <fill>
      <patternFill patternType="solid">
        <fgColor rgb="FFCCFFCC"/>
        <bgColor indexed="64"/>
      </patternFill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FFF69D"/>
        <bgColor indexed="64"/>
      </patternFill>
    </fill>
    <fill>
      <patternFill patternType="solid">
        <fgColor rgb="FFC1FFE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B9FF"/>
        <bgColor indexed="64"/>
      </patternFill>
    </fill>
    <fill>
      <patternFill patternType="solid">
        <fgColor rgb="FFB7E7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7" fillId="0" borderId="0"/>
  </cellStyleXfs>
  <cellXfs count="10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6" fillId="0" borderId="0" xfId="0" applyFont="1" applyAlignment="1">
      <alignment horizontal="center"/>
    </xf>
    <xf numFmtId="9" fontId="0" fillId="0" borderId="0" xfId="1" applyFont="1"/>
    <xf numFmtId="0" fontId="7" fillId="0" borderId="0" xfId="2"/>
    <xf numFmtId="0" fontId="7" fillId="8" borderId="1" xfId="2" applyFill="1" applyBorder="1"/>
    <xf numFmtId="0" fontId="7" fillId="0" borderId="1" xfId="2" applyBorder="1"/>
    <xf numFmtId="0" fontId="7" fillId="9" borderId="1" xfId="2" applyFill="1" applyBorder="1"/>
    <xf numFmtId="0" fontId="7" fillId="10" borderId="1" xfId="2" applyFill="1" applyBorder="1"/>
    <xf numFmtId="0" fontId="7" fillId="0" borderId="1" xfId="2" applyBorder="1" applyAlignment="1">
      <alignment horizontal="center"/>
    </xf>
    <xf numFmtId="0" fontId="7" fillId="10" borderId="0" xfId="2" applyFill="1"/>
    <xf numFmtId="0" fontId="1" fillId="0" borderId="0" xfId="2" applyFont="1"/>
    <xf numFmtId="0" fontId="7" fillId="0" borderId="4" xfId="2" applyBorder="1"/>
    <xf numFmtId="0" fontId="8" fillId="0" borderId="0" xfId="0" applyFont="1" applyAlignment="1">
      <alignment horizontal="center"/>
    </xf>
    <xf numFmtId="0" fontId="0" fillId="0" borderId="0" xfId="0" quotePrefix="1"/>
    <xf numFmtId="0" fontId="9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15" borderId="7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0" fillId="0" borderId="1" xfId="0" applyFont="1" applyBorder="1"/>
    <xf numFmtId="0" fontId="10" fillId="0" borderId="7" xfId="0" applyFont="1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0" fillId="2" borderId="7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11" borderId="1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9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2" borderId="6" xfId="0" applyFill="1" applyBorder="1"/>
    <xf numFmtId="0" fontId="0" fillId="12" borderId="7" xfId="0" applyFill="1" applyBorder="1"/>
    <xf numFmtId="0" fontId="0" fillId="2" borderId="6" xfId="0" applyFill="1" applyBorder="1"/>
    <xf numFmtId="0" fontId="0" fillId="12" borderId="9" xfId="0" applyFill="1" applyBorder="1"/>
    <xf numFmtId="0" fontId="0" fillId="12" borderId="10" xfId="0" applyFill="1" applyBorder="1"/>
    <xf numFmtId="0" fontId="0" fillId="13" borderId="10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3" borderId="9" xfId="0" applyFill="1" applyBorder="1"/>
    <xf numFmtId="0" fontId="10" fillId="2" borderId="1" xfId="0" applyFont="1" applyFill="1" applyBorder="1"/>
    <xf numFmtId="0" fontId="10" fillId="12" borderId="1" xfId="0" applyFont="1" applyFill="1" applyBorder="1"/>
    <xf numFmtId="0" fontId="11" fillId="2" borderId="1" xfId="0" applyFont="1" applyFill="1" applyBorder="1"/>
    <xf numFmtId="0" fontId="10" fillId="0" borderId="5" xfId="0" applyFont="1" applyBorder="1"/>
    <xf numFmtId="0" fontId="10" fillId="13" borderId="5" xfId="0" applyFont="1" applyFill="1" applyBorder="1"/>
    <xf numFmtId="0" fontId="0" fillId="0" borderId="20" xfId="0" applyBorder="1"/>
    <xf numFmtId="0" fontId="10" fillId="12" borderId="6" xfId="0" applyFont="1" applyFill="1" applyBorder="1"/>
    <xf numFmtId="0" fontId="10" fillId="12" borderId="7" xfId="0" applyFont="1" applyFill="1" applyBorder="1"/>
    <xf numFmtId="0" fontId="10" fillId="0" borderId="9" xfId="0" applyFont="1" applyBorder="1"/>
    <xf numFmtId="0" fontId="10" fillId="0" borderId="10" xfId="0" applyFont="1" applyBorder="1"/>
    <xf numFmtId="0" fontId="10" fillId="13" borderId="10" xfId="0" applyFont="1" applyFill="1" applyBorder="1"/>
    <xf numFmtId="0" fontId="10" fillId="0" borderId="6" xfId="0" applyFont="1" applyBorder="1"/>
    <xf numFmtId="0" fontId="10" fillId="12" borderId="9" xfId="0" applyFont="1" applyFill="1" applyBorder="1"/>
    <xf numFmtId="0" fontId="10" fillId="12" borderId="10" xfId="0" applyFont="1" applyFill="1" applyBorder="1"/>
    <xf numFmtId="0" fontId="10" fillId="13" borderId="9" xfId="0" applyFont="1" applyFill="1" applyBorder="1"/>
    <xf numFmtId="0" fontId="10" fillId="0" borderId="12" xfId="0" applyFont="1" applyBorder="1"/>
    <xf numFmtId="0" fontId="10" fillId="0" borderId="14" xfId="0" applyFont="1" applyBorder="1"/>
    <xf numFmtId="0" fontId="10" fillId="6" borderId="9" xfId="0" applyFont="1" applyFill="1" applyBorder="1"/>
    <xf numFmtId="0" fontId="10" fillId="6" borderId="10" xfId="0" applyFont="1" applyFill="1" applyBorder="1"/>
    <xf numFmtId="0" fontId="10" fillId="6" borderId="6" xfId="0" applyFont="1" applyFill="1" applyBorder="1"/>
    <xf numFmtId="0" fontId="10" fillId="6" borderId="7" xfId="0" applyFont="1" applyFill="1" applyBorder="1"/>
    <xf numFmtId="0" fontId="10" fillId="0" borderId="11" xfId="0" applyFont="1" applyBorder="1"/>
    <xf numFmtId="0" fontId="10" fillId="16" borderId="6" xfId="0" applyFont="1" applyFill="1" applyBorder="1"/>
    <xf numFmtId="0" fontId="10" fillId="16" borderId="7" xfId="0" applyFont="1" applyFill="1" applyBorder="1"/>
    <xf numFmtId="0" fontId="10" fillId="16" borderId="8" xfId="0" applyFont="1" applyFill="1" applyBorder="1"/>
    <xf numFmtId="0" fontId="11" fillId="0" borderId="1" xfId="0" applyFont="1" applyBorder="1"/>
    <xf numFmtId="0" fontId="10" fillId="0" borderId="8" xfId="0" applyFont="1" applyBorder="1"/>
    <xf numFmtId="0" fontId="10" fillId="0" borderId="0" xfId="0" applyFont="1"/>
    <xf numFmtId="0" fontId="0" fillId="15" borderId="9" xfId="0" applyFill="1" applyBorder="1"/>
    <xf numFmtId="0" fontId="0" fillId="15" borderId="10" xfId="0" applyFill="1" applyBorder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2" fillId="2" borderId="0" xfId="0" applyFont="1" applyFill="1"/>
    <xf numFmtId="0" fontId="13" fillId="0" borderId="0" xfId="0" applyFont="1"/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2" borderId="1" xfId="0" applyFont="1" applyFill="1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textRotation="45" wrapText="1"/>
    </xf>
    <xf numFmtId="0" fontId="3" fillId="0" borderId="3" xfId="0" applyFont="1" applyBorder="1" applyAlignment="1">
      <alignment horizontal="center" vertical="center" textRotation="45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0" borderId="1" xfId="2" applyBorder="1" applyAlignment="1">
      <alignment horizontal="center" wrapText="1"/>
    </xf>
  </cellXfs>
  <cellStyles count="3">
    <cellStyle name="Normal" xfId="0" builtinId="0"/>
    <cellStyle name="Normal 2" xfId="2" xr:uid="{D72884E1-6CD3-4AB4-A847-9560F9299BC4}"/>
    <cellStyle name="Porcentaje" xfId="1" builtinId="5"/>
  </cellStyles>
  <dxfs count="149"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</dxfs>
  <tableStyles count="0" defaultTableStyle="TableStyleMedium2" defaultPivotStyle="PivotStyleLight16"/>
  <colors>
    <mruColors>
      <color rgb="FFB7E7FF"/>
      <color rgb="FFDCB9FF"/>
      <color rgb="FFCC99FF"/>
      <color rgb="FFFFF69D"/>
      <color rgb="FFC1FFE0"/>
      <color rgb="FFC2FCFF"/>
      <color rgb="FFFFE89F"/>
      <color rgb="FFFFEF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15" fmlaLink="$A$2" max="128" min="1" page="10" val="32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9525</xdr:rowOff>
        </xdr:from>
        <xdr:to>
          <xdr:col>2</xdr:col>
          <xdr:colOff>9525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3</xdr:col>
          <xdr:colOff>9525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9525</xdr:rowOff>
        </xdr:from>
        <xdr:to>
          <xdr:col>2</xdr:col>
          <xdr:colOff>9525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28575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5</xdr:col>
          <xdr:colOff>28575</xdr:colOff>
          <xdr:row>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28575</xdr:rowOff>
        </xdr:from>
        <xdr:to>
          <xdr:col>5</xdr:col>
          <xdr:colOff>38100</xdr:colOff>
          <xdr:row>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66675</xdr:rowOff>
        </xdr:from>
        <xdr:to>
          <xdr:col>2</xdr:col>
          <xdr:colOff>295275</xdr:colOff>
          <xdr:row>2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66675</xdr:rowOff>
        </xdr:from>
        <xdr:to>
          <xdr:col>4</xdr:col>
          <xdr:colOff>276225</xdr:colOff>
          <xdr:row>2</xdr:row>
          <xdr:rowOff>180975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28575</xdr:rowOff>
        </xdr:from>
        <xdr:to>
          <xdr:col>5</xdr:col>
          <xdr:colOff>38100</xdr:colOff>
          <xdr:row>3</xdr:row>
          <xdr:rowOff>28575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23FA-F989-2A44-955F-8ACAD691EE0D}">
  <sheetPr codeName="Sheet2"/>
  <dimension ref="A1:JF1000"/>
  <sheetViews>
    <sheetView showGridLines="0" tabSelected="1" zoomScale="140" zoomScaleNormal="140" workbookViewId="0">
      <selection activeCell="A6" sqref="A6"/>
    </sheetView>
  </sheetViews>
  <sheetFormatPr baseColWidth="10" defaultColWidth="3.5" defaultRowHeight="15.75" x14ac:dyDescent="0.5"/>
  <cols>
    <col min="1" max="1" width="4.625" bestFit="1" customWidth="1"/>
    <col min="2" max="2" width="3.875" bestFit="1" customWidth="1"/>
    <col min="4" max="4" width="3.625" bestFit="1" customWidth="1"/>
    <col min="6" max="11" width="3.625" bestFit="1" customWidth="1"/>
    <col min="12" max="12" width="3.625" style="3" bestFit="1" customWidth="1"/>
    <col min="13" max="93" width="3.625" bestFit="1" customWidth="1"/>
    <col min="94" max="94" width="4.375" bestFit="1" customWidth="1"/>
    <col min="95" max="104" width="3.625" bestFit="1" customWidth="1"/>
    <col min="105" max="111" width="4" bestFit="1" customWidth="1"/>
  </cols>
  <sheetData>
    <row r="1" spans="1:266" x14ac:dyDescent="0.5">
      <c r="A1">
        <v>40</v>
      </c>
      <c r="B1" s="2"/>
      <c r="C1" s="2"/>
      <c r="D1" s="2"/>
      <c r="E1" s="2"/>
      <c r="L1"/>
    </row>
    <row r="2" spans="1:266" x14ac:dyDescent="0.5">
      <c r="A2" s="92">
        <v>32</v>
      </c>
      <c r="B2" s="2"/>
      <c r="C2" s="2"/>
      <c r="D2" s="2"/>
      <c r="E2" s="2"/>
      <c r="L2"/>
    </row>
    <row r="3" spans="1:266" ht="16.149999999999999" thickBot="1" x14ac:dyDescent="0.55000000000000004">
      <c r="D3" s="2"/>
      <c r="F3" s="25"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O3" s="25">
        <v>10</v>
      </c>
      <c r="P3" s="25">
        <v>11</v>
      </c>
      <c r="Q3" s="25">
        <v>12</v>
      </c>
      <c r="R3" s="25">
        <v>13</v>
      </c>
      <c r="S3" s="25">
        <v>14</v>
      </c>
      <c r="T3" s="25">
        <v>15</v>
      </c>
      <c r="U3" s="25">
        <v>16</v>
      </c>
      <c r="V3" s="25">
        <v>17</v>
      </c>
      <c r="W3" s="25">
        <v>18</v>
      </c>
      <c r="X3" s="25">
        <v>19</v>
      </c>
      <c r="Y3" s="25">
        <v>20</v>
      </c>
      <c r="Z3" s="25">
        <v>21</v>
      </c>
      <c r="AA3" s="25">
        <v>22</v>
      </c>
      <c r="AB3" s="25">
        <v>23</v>
      </c>
      <c r="AC3" s="25">
        <v>24</v>
      </c>
      <c r="AD3" s="25">
        <v>25</v>
      </c>
      <c r="AE3" s="25">
        <v>26</v>
      </c>
      <c r="AF3" s="25">
        <v>27</v>
      </c>
      <c r="AG3" s="25">
        <v>28</v>
      </c>
      <c r="AH3" s="25">
        <v>29</v>
      </c>
      <c r="AI3" s="25">
        <v>30</v>
      </c>
      <c r="AJ3" s="25">
        <v>31</v>
      </c>
      <c r="AK3" s="25">
        <v>32</v>
      </c>
      <c r="AL3" s="25">
        <v>33</v>
      </c>
      <c r="AM3" s="25">
        <v>34</v>
      </c>
      <c r="AN3" s="25">
        <v>35</v>
      </c>
      <c r="AO3" s="25">
        <v>36</v>
      </c>
      <c r="AP3" s="25">
        <v>37</v>
      </c>
      <c r="AQ3" s="25">
        <v>38</v>
      </c>
      <c r="AR3" s="25">
        <v>39</v>
      </c>
      <c r="AS3" s="25">
        <v>40</v>
      </c>
      <c r="AT3" s="25">
        <v>41</v>
      </c>
      <c r="AU3" s="25">
        <v>42</v>
      </c>
      <c r="AV3" s="25">
        <v>43</v>
      </c>
      <c r="AW3" s="25">
        <v>44</v>
      </c>
      <c r="AX3" s="25">
        <v>45</v>
      </c>
      <c r="AY3" s="25">
        <v>46</v>
      </c>
      <c r="AZ3" s="25">
        <v>47</v>
      </c>
      <c r="BA3" s="25">
        <v>48</v>
      </c>
      <c r="BB3" s="25">
        <v>49</v>
      </c>
      <c r="BC3" s="25">
        <v>50</v>
      </c>
      <c r="BD3" s="25">
        <v>51</v>
      </c>
      <c r="BE3" s="25">
        <v>52</v>
      </c>
      <c r="BF3" s="25">
        <v>53</v>
      </c>
      <c r="BG3" s="25">
        <v>54</v>
      </c>
      <c r="BH3" s="25">
        <v>55</v>
      </c>
      <c r="BI3" s="25">
        <v>56</v>
      </c>
      <c r="BJ3" s="25">
        <v>57</v>
      </c>
      <c r="BK3" s="25">
        <v>58</v>
      </c>
      <c r="BL3" s="25">
        <v>59</v>
      </c>
      <c r="BM3" s="25">
        <v>60</v>
      </c>
      <c r="BN3" s="25">
        <v>61</v>
      </c>
      <c r="BO3" s="25">
        <v>62</v>
      </c>
      <c r="BP3" s="25">
        <v>63</v>
      </c>
      <c r="BQ3" s="25">
        <v>64</v>
      </c>
      <c r="BR3" s="25">
        <v>65</v>
      </c>
      <c r="BS3" s="25">
        <v>66</v>
      </c>
      <c r="BT3" s="25">
        <v>67</v>
      </c>
      <c r="BU3" s="25">
        <v>68</v>
      </c>
      <c r="BV3" s="25">
        <v>69</v>
      </c>
      <c r="BW3" s="25">
        <v>70</v>
      </c>
      <c r="BX3" s="25">
        <v>71</v>
      </c>
      <c r="BY3" s="25">
        <v>72</v>
      </c>
      <c r="BZ3" s="25">
        <v>73</v>
      </c>
      <c r="CA3" s="25">
        <v>74</v>
      </c>
      <c r="CB3" s="25">
        <v>75</v>
      </c>
      <c r="CC3" s="25">
        <v>76</v>
      </c>
      <c r="CD3" s="25">
        <v>77</v>
      </c>
      <c r="CE3" s="25">
        <v>78</v>
      </c>
      <c r="CF3" s="25">
        <v>79</v>
      </c>
      <c r="CG3" s="25">
        <v>80</v>
      </c>
      <c r="CH3" s="25">
        <v>81</v>
      </c>
      <c r="CI3" s="25">
        <v>82</v>
      </c>
      <c r="CJ3" s="25">
        <v>83</v>
      </c>
      <c r="CK3" s="25">
        <v>84</v>
      </c>
      <c r="CL3" s="25">
        <v>85</v>
      </c>
      <c r="CM3" s="25">
        <v>86</v>
      </c>
      <c r="CN3" s="25">
        <v>87</v>
      </c>
      <c r="CO3" s="25">
        <v>88</v>
      </c>
      <c r="CP3" s="25">
        <v>89</v>
      </c>
      <c r="CQ3" s="25">
        <v>90</v>
      </c>
      <c r="CR3" s="25">
        <v>91</v>
      </c>
      <c r="CS3" s="25">
        <v>92</v>
      </c>
      <c r="CT3" s="25">
        <v>93</v>
      </c>
      <c r="CU3" s="25">
        <v>94</v>
      </c>
      <c r="CV3" s="25">
        <v>95</v>
      </c>
      <c r="CW3" s="25">
        <v>96</v>
      </c>
      <c r="CX3" s="25">
        <v>97</v>
      </c>
      <c r="CY3" s="25">
        <v>98</v>
      </c>
      <c r="CZ3" s="25">
        <v>99</v>
      </c>
      <c r="DA3" s="25">
        <v>100</v>
      </c>
      <c r="DB3" s="25">
        <v>101</v>
      </c>
      <c r="DC3" s="25">
        <v>102</v>
      </c>
      <c r="DD3" s="25">
        <v>103</v>
      </c>
      <c r="DE3" s="25">
        <v>104</v>
      </c>
      <c r="DF3" s="25">
        <v>105</v>
      </c>
      <c r="DG3" s="25">
        <v>106</v>
      </c>
      <c r="DH3" s="25">
        <v>107</v>
      </c>
      <c r="DI3" s="25">
        <v>108</v>
      </c>
      <c r="DJ3" s="25">
        <v>109</v>
      </c>
      <c r="DK3" s="25">
        <v>110</v>
      </c>
      <c r="DL3" s="25">
        <v>111</v>
      </c>
      <c r="DM3" s="25">
        <v>112</v>
      </c>
      <c r="DN3" s="25">
        <v>113</v>
      </c>
      <c r="DO3" s="25">
        <v>114</v>
      </c>
      <c r="DP3" s="25">
        <v>115</v>
      </c>
      <c r="DQ3" s="25">
        <v>116</v>
      </c>
      <c r="DR3" s="25">
        <v>117</v>
      </c>
      <c r="DS3" s="25">
        <v>118</v>
      </c>
      <c r="DT3" s="25">
        <v>119</v>
      </c>
      <c r="DU3" s="25">
        <v>120</v>
      </c>
      <c r="DV3" s="25">
        <v>121</v>
      </c>
      <c r="DW3" s="25">
        <v>122</v>
      </c>
      <c r="DX3" s="25">
        <v>123</v>
      </c>
      <c r="DY3" s="25">
        <v>124</v>
      </c>
      <c r="DZ3" s="25">
        <v>125</v>
      </c>
      <c r="EA3" s="25">
        <v>126</v>
      </c>
      <c r="EB3" s="25">
        <v>127</v>
      </c>
      <c r="EC3" s="25">
        <v>128</v>
      </c>
      <c r="ED3" s="25"/>
      <c r="EE3" s="23"/>
      <c r="EI3" s="25">
        <v>1</v>
      </c>
      <c r="EJ3" s="25">
        <v>2</v>
      </c>
      <c r="EK3" s="25">
        <v>3</v>
      </c>
      <c r="EL3" s="25">
        <v>4</v>
      </c>
      <c r="EM3" s="25">
        <v>5</v>
      </c>
      <c r="EN3" s="25">
        <v>6</v>
      </c>
      <c r="EO3" s="25">
        <v>7</v>
      </c>
      <c r="EP3" s="25">
        <v>8</v>
      </c>
      <c r="EQ3" s="25">
        <v>9</v>
      </c>
      <c r="ER3" s="25">
        <v>10</v>
      </c>
      <c r="ES3" s="25">
        <v>11</v>
      </c>
      <c r="ET3" s="25">
        <v>12</v>
      </c>
      <c r="EU3" s="25">
        <v>13</v>
      </c>
      <c r="EV3" s="25">
        <v>14</v>
      </c>
      <c r="EW3" s="25">
        <v>15</v>
      </c>
      <c r="EX3" s="25">
        <v>16</v>
      </c>
      <c r="EY3" s="25">
        <v>17</v>
      </c>
      <c r="EZ3" s="25">
        <v>18</v>
      </c>
      <c r="FA3" s="25">
        <v>19</v>
      </c>
      <c r="FB3" s="25">
        <v>20</v>
      </c>
      <c r="FC3" s="25">
        <v>21</v>
      </c>
      <c r="FD3" s="25">
        <v>22</v>
      </c>
      <c r="FE3" s="25">
        <v>23</v>
      </c>
      <c r="FF3" s="25">
        <v>24</v>
      </c>
      <c r="FG3" s="25">
        <v>25</v>
      </c>
      <c r="FH3" s="25">
        <v>26</v>
      </c>
      <c r="FI3" s="25">
        <v>27</v>
      </c>
      <c r="FJ3" s="25">
        <v>28</v>
      </c>
      <c r="FK3" s="25">
        <v>29</v>
      </c>
      <c r="FL3" s="25">
        <v>30</v>
      </c>
      <c r="FM3" s="25">
        <v>31</v>
      </c>
      <c r="FN3" s="25">
        <v>32</v>
      </c>
      <c r="FO3" s="25">
        <v>33</v>
      </c>
      <c r="FP3" s="25">
        <v>34</v>
      </c>
      <c r="FQ3" s="25">
        <v>35</v>
      </c>
      <c r="FR3" s="25">
        <v>36</v>
      </c>
      <c r="FS3" s="25">
        <v>37</v>
      </c>
      <c r="FT3" s="25">
        <v>38</v>
      </c>
      <c r="FU3" s="25">
        <v>39</v>
      </c>
      <c r="FV3" s="25">
        <v>40</v>
      </c>
      <c r="FW3" s="25">
        <v>41</v>
      </c>
      <c r="FX3" s="25">
        <v>42</v>
      </c>
      <c r="FY3" s="25">
        <v>43</v>
      </c>
      <c r="FZ3" s="25">
        <v>44</v>
      </c>
      <c r="GA3" s="25">
        <v>45</v>
      </c>
      <c r="GB3" s="25">
        <v>46</v>
      </c>
      <c r="GC3" s="25">
        <v>47</v>
      </c>
      <c r="GD3" s="25">
        <v>48</v>
      </c>
      <c r="GE3" s="25">
        <v>49</v>
      </c>
      <c r="GF3" s="25">
        <v>50</v>
      </c>
      <c r="GG3" s="25">
        <v>51</v>
      </c>
      <c r="GH3" s="25">
        <v>52</v>
      </c>
      <c r="GI3" s="25">
        <v>53</v>
      </c>
      <c r="GJ3" s="25">
        <v>54</v>
      </c>
      <c r="GK3" s="25">
        <v>55</v>
      </c>
      <c r="GL3" s="25">
        <v>56</v>
      </c>
      <c r="GM3" s="25">
        <v>57</v>
      </c>
      <c r="GN3" s="25">
        <v>58</v>
      </c>
      <c r="GO3" s="25">
        <v>59</v>
      </c>
      <c r="GP3" s="25">
        <v>60</v>
      </c>
      <c r="GQ3" s="25">
        <v>61</v>
      </c>
      <c r="GR3" s="25">
        <v>62</v>
      </c>
      <c r="GS3" s="25">
        <v>63</v>
      </c>
      <c r="GT3" s="25">
        <v>64</v>
      </c>
      <c r="GU3" s="25">
        <v>65</v>
      </c>
      <c r="GV3" s="25">
        <v>66</v>
      </c>
      <c r="GW3" s="25">
        <v>67</v>
      </c>
      <c r="GX3" s="25">
        <v>68</v>
      </c>
      <c r="GY3" s="25">
        <v>69</v>
      </c>
      <c r="GZ3" s="25">
        <v>70</v>
      </c>
      <c r="HA3" s="25">
        <v>71</v>
      </c>
      <c r="HB3" s="25">
        <v>72</v>
      </c>
      <c r="HC3" s="25">
        <v>73</v>
      </c>
      <c r="HD3" s="25">
        <v>74</v>
      </c>
      <c r="HE3" s="25">
        <v>75</v>
      </c>
      <c r="HF3" s="25">
        <v>76</v>
      </c>
      <c r="HG3" s="25">
        <v>77</v>
      </c>
      <c r="HH3" s="25">
        <v>78</v>
      </c>
      <c r="HI3" s="25">
        <v>79</v>
      </c>
      <c r="HJ3" s="25">
        <v>80</v>
      </c>
      <c r="HK3" s="25">
        <v>81</v>
      </c>
      <c r="HL3" s="25">
        <v>82</v>
      </c>
      <c r="HM3" s="25">
        <v>83</v>
      </c>
      <c r="HN3" s="25">
        <v>84</v>
      </c>
      <c r="HO3" s="25">
        <v>85</v>
      </c>
      <c r="HP3" s="25">
        <v>86</v>
      </c>
      <c r="HQ3" s="25">
        <v>87</v>
      </c>
      <c r="HR3" s="25">
        <v>88</v>
      </c>
      <c r="HS3" s="25">
        <v>89</v>
      </c>
      <c r="HT3" s="25">
        <v>90</v>
      </c>
      <c r="HU3" s="25">
        <v>91</v>
      </c>
      <c r="HV3" s="25">
        <v>92</v>
      </c>
      <c r="HW3" s="25">
        <v>93</v>
      </c>
      <c r="HX3" s="25">
        <v>94</v>
      </c>
      <c r="HY3" s="25">
        <v>95</v>
      </c>
      <c r="HZ3" s="25">
        <v>96</v>
      </c>
      <c r="IA3" s="25">
        <v>97</v>
      </c>
      <c r="IB3" s="25">
        <v>98</v>
      </c>
      <c r="IC3" s="25">
        <v>99</v>
      </c>
      <c r="ID3" s="25">
        <v>100</v>
      </c>
      <c r="IE3" s="25">
        <v>101</v>
      </c>
      <c r="IF3" s="25">
        <v>102</v>
      </c>
      <c r="IG3" s="25">
        <v>103</v>
      </c>
      <c r="IH3" s="25">
        <v>104</v>
      </c>
      <c r="II3" s="25">
        <v>105</v>
      </c>
      <c r="IJ3" s="25">
        <v>106</v>
      </c>
      <c r="IK3" s="25">
        <v>107</v>
      </c>
      <c r="IL3" s="25">
        <v>108</v>
      </c>
      <c r="IM3" s="25">
        <v>109</v>
      </c>
      <c r="IN3" s="25">
        <v>110</v>
      </c>
      <c r="IO3" s="25">
        <v>111</v>
      </c>
      <c r="IP3" s="25">
        <v>112</v>
      </c>
      <c r="IQ3" s="25">
        <v>113</v>
      </c>
      <c r="IR3" s="25">
        <v>114</v>
      </c>
      <c r="IS3" s="25">
        <v>115</v>
      </c>
      <c r="IT3" s="25">
        <v>116</v>
      </c>
      <c r="IU3" s="25">
        <v>117</v>
      </c>
      <c r="IV3" s="25">
        <v>118</v>
      </c>
      <c r="IW3" s="25">
        <v>119</v>
      </c>
      <c r="IX3" s="25">
        <v>120</v>
      </c>
      <c r="IY3" s="25">
        <v>121</v>
      </c>
      <c r="IZ3" s="25">
        <v>122</v>
      </c>
      <c r="JA3" s="25">
        <v>123</v>
      </c>
      <c r="JB3" s="25">
        <v>124</v>
      </c>
      <c r="JC3" s="25">
        <v>125</v>
      </c>
      <c r="JD3" s="25">
        <v>126</v>
      </c>
      <c r="JE3" s="25">
        <v>127</v>
      </c>
      <c r="JF3" s="25">
        <v>128</v>
      </c>
    </row>
    <row r="4" spans="1:266" ht="16.149999999999999" thickTop="1" x14ac:dyDescent="0.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Z4" s="4">
        <v>21</v>
      </c>
      <c r="AA4" s="4">
        <v>22</v>
      </c>
      <c r="AB4" s="4">
        <v>23</v>
      </c>
      <c r="AC4" s="4">
        <v>24</v>
      </c>
      <c r="AD4" s="4">
        <v>25</v>
      </c>
      <c r="AE4" s="4">
        <v>26</v>
      </c>
      <c r="AF4" s="4">
        <v>27</v>
      </c>
      <c r="AG4" s="4">
        <v>28</v>
      </c>
      <c r="AH4" s="4">
        <v>29</v>
      </c>
      <c r="AI4" s="4">
        <v>30</v>
      </c>
      <c r="AJ4" s="4">
        <v>31</v>
      </c>
      <c r="AK4" s="4">
        <v>32</v>
      </c>
      <c r="AL4" s="4">
        <v>33</v>
      </c>
      <c r="AM4" s="4">
        <v>34</v>
      </c>
      <c r="AN4" s="4">
        <v>35</v>
      </c>
      <c r="AO4" s="4">
        <v>36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4">
        <v>0</v>
      </c>
      <c r="CT4" s="4">
        <v>0</v>
      </c>
      <c r="CU4" s="4">
        <v>0</v>
      </c>
      <c r="CV4" s="4">
        <v>0</v>
      </c>
      <c r="CW4" s="4">
        <v>0</v>
      </c>
      <c r="CX4" s="35">
        <v>0</v>
      </c>
      <c r="CY4" s="35">
        <v>0</v>
      </c>
      <c r="CZ4" s="35">
        <v>0</v>
      </c>
      <c r="DA4" s="35">
        <v>0</v>
      </c>
      <c r="DB4" s="35">
        <v>0</v>
      </c>
      <c r="DC4" s="35">
        <v>0</v>
      </c>
      <c r="DD4" s="35">
        <v>0</v>
      </c>
      <c r="DE4" s="35">
        <v>0</v>
      </c>
      <c r="DF4" s="35">
        <v>0</v>
      </c>
      <c r="DG4" s="35">
        <v>0</v>
      </c>
      <c r="DH4" s="35">
        <v>0</v>
      </c>
      <c r="DI4" s="35">
        <v>0</v>
      </c>
      <c r="DJ4" s="35">
        <v>0</v>
      </c>
      <c r="DK4" s="35">
        <v>0</v>
      </c>
      <c r="DL4" s="35">
        <v>0</v>
      </c>
      <c r="DM4" s="35">
        <v>0</v>
      </c>
      <c r="DN4" s="35">
        <v>0</v>
      </c>
      <c r="DO4" s="35">
        <v>0</v>
      </c>
      <c r="DP4" s="35">
        <v>0</v>
      </c>
      <c r="DQ4" s="35">
        <v>0</v>
      </c>
      <c r="DR4" s="35">
        <v>0</v>
      </c>
      <c r="DS4" s="35">
        <v>0</v>
      </c>
      <c r="DT4" s="35">
        <v>0</v>
      </c>
      <c r="DU4" s="35">
        <v>0</v>
      </c>
      <c r="DV4" s="35">
        <v>0</v>
      </c>
      <c r="DW4" s="35">
        <v>0</v>
      </c>
      <c r="DX4" s="35">
        <v>0</v>
      </c>
      <c r="DY4" s="35">
        <v>0</v>
      </c>
      <c r="DZ4" s="35">
        <v>0</v>
      </c>
      <c r="EA4" s="35">
        <v>0</v>
      </c>
      <c r="EB4" s="35">
        <v>0</v>
      </c>
      <c r="EC4" s="35">
        <v>0</v>
      </c>
      <c r="ED4" s="86"/>
      <c r="EH4" s="33" t="s">
        <v>48</v>
      </c>
      <c r="EI4">
        <v>42</v>
      </c>
      <c r="EJ4">
        <v>60</v>
      </c>
      <c r="EK4">
        <v>47</v>
      </c>
      <c r="EL4">
        <v>43</v>
      </c>
      <c r="EM4">
        <v>59</v>
      </c>
      <c r="EN4">
        <v>44</v>
      </c>
      <c r="EO4">
        <v>20</v>
      </c>
      <c r="EP4">
        <v>32</v>
      </c>
      <c r="EQ4">
        <v>45</v>
      </c>
      <c r="ER4">
        <v>33</v>
      </c>
      <c r="ES4">
        <v>1</v>
      </c>
      <c r="ET4">
        <v>3</v>
      </c>
      <c r="EU4">
        <v>13</v>
      </c>
      <c r="EV4">
        <v>39</v>
      </c>
      <c r="EW4">
        <v>15</v>
      </c>
      <c r="EX4">
        <v>26</v>
      </c>
      <c r="EY4">
        <v>21</v>
      </c>
      <c r="EZ4">
        <v>51</v>
      </c>
      <c r="FA4">
        <v>23</v>
      </c>
      <c r="FB4">
        <v>61</v>
      </c>
      <c r="FC4">
        <v>5</v>
      </c>
      <c r="FD4">
        <v>6</v>
      </c>
      <c r="FE4">
        <v>41</v>
      </c>
      <c r="FF4">
        <v>46</v>
      </c>
      <c r="FG4">
        <v>8</v>
      </c>
      <c r="FH4">
        <v>28</v>
      </c>
      <c r="FI4">
        <v>35</v>
      </c>
      <c r="FJ4">
        <v>73</v>
      </c>
      <c r="FK4">
        <v>2</v>
      </c>
      <c r="FL4">
        <v>84</v>
      </c>
      <c r="FM4">
        <v>49</v>
      </c>
      <c r="FN4">
        <v>38</v>
      </c>
      <c r="FO4">
        <v>48</v>
      </c>
      <c r="FP4">
        <v>81</v>
      </c>
      <c r="FQ4">
        <v>25</v>
      </c>
      <c r="FR4">
        <v>96</v>
      </c>
      <c r="FS4">
        <v>31</v>
      </c>
      <c r="FT4">
        <v>12</v>
      </c>
      <c r="FU4">
        <v>9</v>
      </c>
      <c r="FV4">
        <v>72</v>
      </c>
      <c r="FW4">
        <v>56</v>
      </c>
      <c r="FX4">
        <v>36</v>
      </c>
      <c r="FY4">
        <v>71</v>
      </c>
      <c r="FZ4">
        <v>93</v>
      </c>
      <c r="GA4">
        <v>58</v>
      </c>
      <c r="GB4">
        <v>65</v>
      </c>
      <c r="GC4">
        <v>75</v>
      </c>
      <c r="GD4">
        <v>57</v>
      </c>
      <c r="GE4">
        <v>55</v>
      </c>
      <c r="GF4">
        <v>16</v>
      </c>
      <c r="GG4">
        <v>54</v>
      </c>
      <c r="GH4">
        <v>85</v>
      </c>
      <c r="GI4">
        <v>19</v>
      </c>
      <c r="GJ4">
        <v>4</v>
      </c>
      <c r="GK4">
        <v>14</v>
      </c>
      <c r="GL4">
        <v>17</v>
      </c>
      <c r="GM4">
        <v>52</v>
      </c>
      <c r="GN4">
        <v>29</v>
      </c>
      <c r="GO4">
        <v>63</v>
      </c>
      <c r="GP4">
        <v>34</v>
      </c>
      <c r="GQ4">
        <v>30</v>
      </c>
      <c r="GR4">
        <v>92</v>
      </c>
      <c r="GS4">
        <v>82</v>
      </c>
      <c r="GT4">
        <v>69</v>
      </c>
      <c r="GU4">
        <v>27</v>
      </c>
      <c r="GV4">
        <v>22</v>
      </c>
      <c r="GW4">
        <v>77</v>
      </c>
      <c r="GX4">
        <v>90</v>
      </c>
      <c r="GY4">
        <v>40</v>
      </c>
      <c r="GZ4">
        <v>53</v>
      </c>
      <c r="HA4">
        <v>11</v>
      </c>
      <c r="HB4">
        <v>70</v>
      </c>
      <c r="HC4">
        <v>37</v>
      </c>
      <c r="HD4">
        <v>89</v>
      </c>
      <c r="HE4">
        <v>95</v>
      </c>
      <c r="HF4">
        <v>7</v>
      </c>
      <c r="HG4">
        <v>64</v>
      </c>
      <c r="HH4">
        <v>24</v>
      </c>
      <c r="HI4">
        <v>87</v>
      </c>
      <c r="HJ4">
        <v>78</v>
      </c>
      <c r="HK4">
        <v>74</v>
      </c>
      <c r="HL4">
        <v>67</v>
      </c>
      <c r="HM4">
        <v>10</v>
      </c>
      <c r="HN4">
        <v>83</v>
      </c>
      <c r="HO4">
        <v>68</v>
      </c>
      <c r="HP4">
        <v>76</v>
      </c>
      <c r="HQ4">
        <v>50</v>
      </c>
      <c r="HR4">
        <v>86</v>
      </c>
      <c r="HS4">
        <v>88</v>
      </c>
      <c r="HT4">
        <v>80</v>
      </c>
      <c r="HU4">
        <v>94</v>
      </c>
      <c r="HV4">
        <v>91</v>
      </c>
      <c r="HW4">
        <v>18</v>
      </c>
      <c r="HX4">
        <v>79</v>
      </c>
      <c r="HY4">
        <v>66</v>
      </c>
      <c r="HZ4">
        <v>62</v>
      </c>
    </row>
    <row r="5" spans="1:266" ht="16.149999999999999" thickBot="1" x14ac:dyDescent="0.55000000000000004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4">
        <v>0</v>
      </c>
      <c r="CT5" s="4">
        <v>0</v>
      </c>
      <c r="CU5" s="4">
        <v>0</v>
      </c>
      <c r="CV5" s="4">
        <v>0</v>
      </c>
      <c r="CW5" s="4">
        <v>0</v>
      </c>
      <c r="CX5" s="35">
        <v>0</v>
      </c>
      <c r="CY5" s="35">
        <v>0</v>
      </c>
      <c r="CZ5" s="35">
        <v>0</v>
      </c>
      <c r="DA5" s="35">
        <v>0</v>
      </c>
      <c r="DB5" s="35">
        <v>0</v>
      </c>
      <c r="DC5" s="35">
        <v>0</v>
      </c>
      <c r="DD5" s="35">
        <v>0</v>
      </c>
      <c r="DE5" s="35">
        <v>0</v>
      </c>
      <c r="DF5" s="35">
        <v>0</v>
      </c>
      <c r="DG5" s="35">
        <v>0</v>
      </c>
      <c r="DH5" s="35">
        <v>0</v>
      </c>
      <c r="DI5" s="35">
        <v>0</v>
      </c>
      <c r="DJ5" s="35">
        <v>0</v>
      </c>
      <c r="DK5" s="35">
        <v>0</v>
      </c>
      <c r="DL5" s="35">
        <v>0</v>
      </c>
      <c r="DM5" s="35">
        <v>0</v>
      </c>
      <c r="DN5" s="35">
        <v>0</v>
      </c>
      <c r="DO5" s="35">
        <v>0</v>
      </c>
      <c r="DP5" s="35">
        <v>0</v>
      </c>
      <c r="DQ5" s="35">
        <v>0</v>
      </c>
      <c r="DR5" s="35">
        <v>0</v>
      </c>
      <c r="DS5" s="35">
        <v>0</v>
      </c>
      <c r="DT5" s="35">
        <v>0</v>
      </c>
      <c r="DU5" s="35">
        <v>0</v>
      </c>
      <c r="DV5" s="35">
        <v>0</v>
      </c>
      <c r="DW5" s="35">
        <v>0</v>
      </c>
      <c r="DX5" s="35">
        <v>0</v>
      </c>
      <c r="DY5" s="35">
        <v>0</v>
      </c>
      <c r="DZ5" s="35">
        <v>0</v>
      </c>
      <c r="EA5" s="35">
        <v>0</v>
      </c>
      <c r="EB5" s="35">
        <v>0</v>
      </c>
      <c r="EC5" s="35">
        <v>0</v>
      </c>
      <c r="ED5" s="86"/>
      <c r="EH5" s="34" t="s">
        <v>51</v>
      </c>
    </row>
    <row r="6" spans="1:266" ht="16.5" thickTop="1" thickBot="1" x14ac:dyDescent="0.55000000000000004">
      <c r="L6"/>
      <c r="EH6" s="33" t="s">
        <v>48</v>
      </c>
      <c r="EI6">
        <v>83</v>
      </c>
      <c r="EJ6">
        <v>68</v>
      </c>
      <c r="EK6">
        <v>76</v>
      </c>
      <c r="EL6">
        <v>50</v>
      </c>
      <c r="EM6">
        <v>86</v>
      </c>
      <c r="EN6">
        <v>88</v>
      </c>
      <c r="EO6">
        <v>80</v>
      </c>
      <c r="EP6">
        <v>94</v>
      </c>
      <c r="EQ6">
        <v>91</v>
      </c>
      <c r="ER6">
        <v>79</v>
      </c>
      <c r="ES6">
        <v>66</v>
      </c>
      <c r="ET6">
        <v>62</v>
      </c>
      <c r="EU6">
        <v>42</v>
      </c>
      <c r="EV6">
        <v>60</v>
      </c>
      <c r="EW6">
        <v>47</v>
      </c>
      <c r="EX6">
        <v>43</v>
      </c>
      <c r="EY6">
        <v>59</v>
      </c>
      <c r="EZ6">
        <v>44</v>
      </c>
      <c r="FA6">
        <v>32</v>
      </c>
      <c r="FB6">
        <v>45</v>
      </c>
      <c r="FC6">
        <v>33</v>
      </c>
      <c r="FD6">
        <v>39</v>
      </c>
      <c r="FE6">
        <v>26</v>
      </c>
      <c r="FF6">
        <v>51</v>
      </c>
      <c r="FG6">
        <v>61</v>
      </c>
      <c r="FH6">
        <v>41</v>
      </c>
      <c r="FI6">
        <v>46</v>
      </c>
      <c r="FJ6">
        <v>28</v>
      </c>
      <c r="FK6">
        <v>35</v>
      </c>
      <c r="FL6">
        <v>73</v>
      </c>
      <c r="FM6">
        <v>84</v>
      </c>
      <c r="FN6">
        <v>49</v>
      </c>
      <c r="FO6">
        <v>38</v>
      </c>
      <c r="FP6">
        <v>48</v>
      </c>
      <c r="FQ6">
        <v>81</v>
      </c>
      <c r="FR6">
        <v>25</v>
      </c>
      <c r="FS6">
        <v>96</v>
      </c>
      <c r="FT6">
        <v>31</v>
      </c>
      <c r="FU6">
        <v>72</v>
      </c>
      <c r="FV6">
        <v>56</v>
      </c>
      <c r="FW6">
        <v>36</v>
      </c>
      <c r="FX6">
        <v>71</v>
      </c>
      <c r="FY6">
        <v>93</v>
      </c>
      <c r="FZ6">
        <v>58</v>
      </c>
      <c r="GA6">
        <v>65</v>
      </c>
      <c r="GB6">
        <v>75</v>
      </c>
      <c r="GC6">
        <v>57</v>
      </c>
      <c r="GD6">
        <v>55</v>
      </c>
      <c r="GE6">
        <v>54</v>
      </c>
      <c r="GF6">
        <v>85</v>
      </c>
      <c r="GG6">
        <v>52</v>
      </c>
      <c r="GH6">
        <v>29</v>
      </c>
      <c r="GI6">
        <v>63</v>
      </c>
      <c r="GJ6">
        <v>34</v>
      </c>
      <c r="GK6">
        <v>30</v>
      </c>
      <c r="GL6">
        <v>92</v>
      </c>
      <c r="GM6">
        <v>82</v>
      </c>
      <c r="GN6">
        <v>69</v>
      </c>
      <c r="GO6">
        <v>27</v>
      </c>
      <c r="GP6">
        <v>77</v>
      </c>
      <c r="GQ6">
        <v>90</v>
      </c>
      <c r="GR6">
        <v>40</v>
      </c>
      <c r="GS6">
        <v>53</v>
      </c>
      <c r="GT6">
        <v>70</v>
      </c>
      <c r="GU6">
        <v>37</v>
      </c>
      <c r="GV6">
        <v>89</v>
      </c>
      <c r="GW6">
        <v>95</v>
      </c>
      <c r="GX6">
        <v>64</v>
      </c>
      <c r="GY6">
        <v>87</v>
      </c>
      <c r="GZ6">
        <v>78</v>
      </c>
      <c r="HA6">
        <v>74</v>
      </c>
      <c r="HB6">
        <v>67</v>
      </c>
    </row>
    <row r="7" spans="1:266" ht="16.05" customHeight="1" thickBot="1" x14ac:dyDescent="0.55000000000000004">
      <c r="A7" t="s">
        <v>31</v>
      </c>
      <c r="B7">
        <v>96</v>
      </c>
      <c r="D7" s="100">
        <v>0</v>
      </c>
      <c r="E7" s="102" t="s">
        <v>11</v>
      </c>
      <c r="F7" s="4">
        <v>5</v>
      </c>
      <c r="G7" s="4">
        <v>17</v>
      </c>
      <c r="H7" s="4">
        <v>32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H7" s="34" t="s">
        <v>51</v>
      </c>
      <c r="EI7">
        <v>10</v>
      </c>
      <c r="EJ7">
        <v>24</v>
      </c>
      <c r="EK7">
        <v>7</v>
      </c>
      <c r="EL7">
        <v>11</v>
      </c>
      <c r="EM7">
        <v>22</v>
      </c>
      <c r="EN7">
        <v>17</v>
      </c>
      <c r="EO7">
        <v>14</v>
      </c>
      <c r="EP7">
        <v>4</v>
      </c>
      <c r="EQ7">
        <v>19</v>
      </c>
      <c r="ER7">
        <v>16</v>
      </c>
      <c r="ES7">
        <v>9</v>
      </c>
      <c r="ET7">
        <v>12</v>
      </c>
      <c r="EU7">
        <v>2</v>
      </c>
      <c r="EV7">
        <v>8</v>
      </c>
      <c r="EW7">
        <v>6</v>
      </c>
      <c r="EX7">
        <v>5</v>
      </c>
      <c r="EY7">
        <v>23</v>
      </c>
      <c r="EZ7">
        <v>21</v>
      </c>
      <c r="FA7">
        <v>15</v>
      </c>
      <c r="FB7">
        <v>13</v>
      </c>
      <c r="FC7">
        <v>3</v>
      </c>
      <c r="FD7">
        <v>1</v>
      </c>
      <c r="FE7">
        <v>20</v>
      </c>
      <c r="FF7">
        <v>18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</row>
    <row r="8" spans="1:266" ht="16.5" thickTop="1" thickBot="1" x14ac:dyDescent="0.55000000000000004">
      <c r="A8" t="s">
        <v>49</v>
      </c>
      <c r="B8">
        <v>4</v>
      </c>
      <c r="D8" s="101"/>
      <c r="E8" s="103"/>
      <c r="F8" s="4">
        <v>31</v>
      </c>
      <c r="G8" s="4">
        <v>30</v>
      </c>
      <c r="H8" s="4">
        <v>29</v>
      </c>
      <c r="I8" s="4">
        <v>28</v>
      </c>
      <c r="J8" s="4">
        <v>27</v>
      </c>
      <c r="K8" s="4">
        <v>26</v>
      </c>
      <c r="L8" s="4">
        <v>25</v>
      </c>
      <c r="M8" s="4">
        <v>24</v>
      </c>
      <c r="N8" s="4">
        <v>23</v>
      </c>
      <c r="O8" s="4">
        <v>22</v>
      </c>
      <c r="P8" s="4">
        <v>21</v>
      </c>
      <c r="Q8" s="4">
        <v>20</v>
      </c>
      <c r="R8" s="4">
        <v>19</v>
      </c>
      <c r="S8" s="4">
        <v>18</v>
      </c>
      <c r="T8" s="4">
        <v>16</v>
      </c>
      <c r="U8" s="4">
        <v>15</v>
      </c>
      <c r="V8" s="4">
        <v>14</v>
      </c>
      <c r="W8" s="4">
        <v>13</v>
      </c>
      <c r="X8" s="4">
        <v>12</v>
      </c>
      <c r="Y8" s="4">
        <v>11</v>
      </c>
      <c r="Z8" s="4">
        <v>10</v>
      </c>
      <c r="AA8" s="4">
        <v>9</v>
      </c>
      <c r="AB8" s="4">
        <v>8</v>
      </c>
      <c r="AC8" s="4">
        <v>7</v>
      </c>
      <c r="AD8" s="4">
        <v>6</v>
      </c>
      <c r="AE8" s="4">
        <v>4</v>
      </c>
      <c r="AF8" s="4">
        <v>3</v>
      </c>
      <c r="AG8" s="4">
        <v>2</v>
      </c>
      <c r="AH8" s="4">
        <v>1</v>
      </c>
      <c r="AI8" s="4">
        <v>36</v>
      </c>
      <c r="AJ8" s="4">
        <v>35</v>
      </c>
      <c r="AK8" s="4">
        <v>34</v>
      </c>
      <c r="AL8" s="4">
        <v>33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  <c r="EH8" s="33" t="s">
        <v>48</v>
      </c>
    </row>
    <row r="9" spans="1:266" ht="16.05" customHeight="1" thickBot="1" x14ac:dyDescent="0.55000000000000004">
      <c r="A9" s="24" t="s">
        <v>52</v>
      </c>
      <c r="B9">
        <f>B7/B8</f>
        <v>24</v>
      </c>
      <c r="D9" s="100">
        <v>1</v>
      </c>
      <c r="E9" s="98" t="s">
        <v>16</v>
      </c>
      <c r="F9" s="4">
        <v>5</v>
      </c>
      <c r="G9" s="4">
        <v>17</v>
      </c>
      <c r="H9" s="4">
        <v>32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  <c r="EH9" s="34" t="s">
        <v>51</v>
      </c>
    </row>
    <row r="10" spans="1:266" ht="16.5" thickTop="1" thickBot="1" x14ac:dyDescent="0.55000000000000004">
      <c r="A10" t="s">
        <v>35</v>
      </c>
      <c r="B10">
        <v>3</v>
      </c>
      <c r="D10" s="101"/>
      <c r="E10" s="99"/>
      <c r="F10" s="4">
        <v>33</v>
      </c>
      <c r="G10" s="4">
        <v>31</v>
      </c>
      <c r="H10" s="4">
        <v>30</v>
      </c>
      <c r="I10" s="4">
        <v>29</v>
      </c>
      <c r="J10" s="4">
        <v>28</v>
      </c>
      <c r="K10" s="4">
        <v>27</v>
      </c>
      <c r="L10" s="4">
        <v>26</v>
      </c>
      <c r="M10" s="4">
        <v>25</v>
      </c>
      <c r="N10" s="4">
        <v>24</v>
      </c>
      <c r="O10" s="4">
        <v>23</v>
      </c>
      <c r="P10" s="4">
        <v>22</v>
      </c>
      <c r="Q10" s="4">
        <v>21</v>
      </c>
      <c r="R10" s="4">
        <v>20</v>
      </c>
      <c r="S10" s="4">
        <v>19</v>
      </c>
      <c r="T10" s="4">
        <v>18</v>
      </c>
      <c r="U10" s="4">
        <v>16</v>
      </c>
      <c r="V10" s="4">
        <v>15</v>
      </c>
      <c r="W10" s="4">
        <v>14</v>
      </c>
      <c r="X10" s="4">
        <v>13</v>
      </c>
      <c r="Y10" s="4">
        <v>12</v>
      </c>
      <c r="Z10" s="4">
        <v>11</v>
      </c>
      <c r="AA10" s="4">
        <v>10</v>
      </c>
      <c r="AB10" s="4">
        <v>9</v>
      </c>
      <c r="AC10" s="4">
        <v>8</v>
      </c>
      <c r="AD10" s="4">
        <v>7</v>
      </c>
      <c r="AE10" s="4">
        <v>6</v>
      </c>
      <c r="AF10" s="4">
        <v>4</v>
      </c>
      <c r="AG10" s="4">
        <v>3</v>
      </c>
      <c r="AH10" s="4">
        <v>2</v>
      </c>
      <c r="AI10" s="4">
        <v>1</v>
      </c>
      <c r="AJ10" s="4">
        <v>36</v>
      </c>
      <c r="AK10" s="4">
        <v>35</v>
      </c>
      <c r="AL10" s="4">
        <v>34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0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  <c r="EH10" s="33" t="s">
        <v>48</v>
      </c>
    </row>
    <row r="11" spans="1:266" ht="16.149999999999999" thickBot="1" x14ac:dyDescent="0.55000000000000004">
      <c r="A11" s="24" t="s">
        <v>50</v>
      </c>
      <c r="B11">
        <f>B9/B10</f>
        <v>8</v>
      </c>
      <c r="D11" s="100">
        <v>2</v>
      </c>
      <c r="E11" s="98" t="s">
        <v>16</v>
      </c>
      <c r="F11" s="4">
        <v>5</v>
      </c>
      <c r="G11" s="4">
        <v>17</v>
      </c>
      <c r="H11" s="4">
        <v>32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  <c r="EH11" s="34" t="s">
        <v>51</v>
      </c>
    </row>
    <row r="12" spans="1:266" ht="16.5" thickTop="1" thickBot="1" x14ac:dyDescent="0.55000000000000004">
      <c r="D12" s="101"/>
      <c r="E12" s="99"/>
      <c r="F12" s="4">
        <v>34</v>
      </c>
      <c r="G12" s="4">
        <v>33</v>
      </c>
      <c r="H12" s="4">
        <v>31</v>
      </c>
      <c r="I12" s="4">
        <v>30</v>
      </c>
      <c r="J12" s="4">
        <v>29</v>
      </c>
      <c r="K12" s="4">
        <v>28</v>
      </c>
      <c r="L12" s="4">
        <v>27</v>
      </c>
      <c r="M12" s="4">
        <v>26</v>
      </c>
      <c r="N12" s="4">
        <v>25</v>
      </c>
      <c r="O12" s="4">
        <v>24</v>
      </c>
      <c r="P12" s="4">
        <v>23</v>
      </c>
      <c r="Q12" s="4">
        <v>22</v>
      </c>
      <c r="R12" s="4">
        <v>21</v>
      </c>
      <c r="S12" s="4">
        <v>20</v>
      </c>
      <c r="T12" s="4">
        <v>19</v>
      </c>
      <c r="U12" s="4">
        <v>18</v>
      </c>
      <c r="V12" s="4">
        <v>16</v>
      </c>
      <c r="W12" s="4">
        <v>15</v>
      </c>
      <c r="X12" s="4">
        <v>14</v>
      </c>
      <c r="Y12" s="4">
        <v>13</v>
      </c>
      <c r="Z12" s="4">
        <v>12</v>
      </c>
      <c r="AA12" s="4">
        <v>11</v>
      </c>
      <c r="AB12" s="4">
        <v>10</v>
      </c>
      <c r="AC12" s="4">
        <v>9</v>
      </c>
      <c r="AD12" s="4">
        <v>8</v>
      </c>
      <c r="AE12" s="4">
        <v>7</v>
      </c>
      <c r="AF12" s="4">
        <v>6</v>
      </c>
      <c r="AG12" s="4">
        <v>4</v>
      </c>
      <c r="AH12" s="4">
        <v>3</v>
      </c>
      <c r="AI12" s="4">
        <v>2</v>
      </c>
      <c r="AJ12" s="4">
        <v>1</v>
      </c>
      <c r="AK12" s="4">
        <v>36</v>
      </c>
      <c r="AL12" s="4">
        <v>35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0</v>
      </c>
      <c r="EC12" s="4">
        <v>0</v>
      </c>
      <c r="EH12" s="33" t="s">
        <v>48</v>
      </c>
    </row>
    <row r="13" spans="1:266" ht="16.149999999999999" thickBot="1" x14ac:dyDescent="0.55000000000000004">
      <c r="A13" s="5">
        <v>1</v>
      </c>
      <c r="B13" s="5">
        <f>A13+7</f>
        <v>8</v>
      </c>
      <c r="D13" s="100">
        <v>3</v>
      </c>
      <c r="E13" s="98" t="s">
        <v>16</v>
      </c>
      <c r="F13" s="4">
        <v>5</v>
      </c>
      <c r="G13" s="4">
        <v>17</v>
      </c>
      <c r="H13" s="4">
        <v>32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0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  <c r="EE13" s="5">
        <v>1</v>
      </c>
      <c r="EF13" s="5">
        <v>8</v>
      </c>
      <c r="EH13" s="34" t="s">
        <v>51</v>
      </c>
    </row>
    <row r="14" spans="1:266" ht="16.5" thickTop="1" thickBot="1" x14ac:dyDescent="0.55000000000000004">
      <c r="A14" s="5">
        <f>B13+1</f>
        <v>9</v>
      </c>
      <c r="B14" s="5">
        <f>A14+7</f>
        <v>16</v>
      </c>
      <c r="D14" s="101"/>
      <c r="E14" s="99"/>
      <c r="F14" s="4">
        <v>35</v>
      </c>
      <c r="G14" s="4">
        <v>34</v>
      </c>
      <c r="H14" s="4">
        <v>33</v>
      </c>
      <c r="I14" s="4">
        <v>31</v>
      </c>
      <c r="J14" s="4">
        <v>30</v>
      </c>
      <c r="K14" s="4">
        <v>29</v>
      </c>
      <c r="L14" s="4">
        <v>28</v>
      </c>
      <c r="M14" s="4">
        <v>27</v>
      </c>
      <c r="N14" s="4">
        <v>26</v>
      </c>
      <c r="O14" s="4">
        <v>25</v>
      </c>
      <c r="P14" s="4">
        <v>24</v>
      </c>
      <c r="Q14" s="4">
        <v>23</v>
      </c>
      <c r="R14" s="4">
        <v>22</v>
      </c>
      <c r="S14" s="4">
        <v>21</v>
      </c>
      <c r="T14" s="4">
        <v>20</v>
      </c>
      <c r="U14" s="4">
        <v>19</v>
      </c>
      <c r="V14" s="4">
        <v>18</v>
      </c>
      <c r="W14" s="4">
        <v>16</v>
      </c>
      <c r="X14" s="4">
        <v>15</v>
      </c>
      <c r="Y14" s="4">
        <v>14</v>
      </c>
      <c r="Z14" s="4">
        <v>13</v>
      </c>
      <c r="AA14" s="4">
        <v>12</v>
      </c>
      <c r="AB14" s="4">
        <v>11</v>
      </c>
      <c r="AC14" s="4">
        <v>10</v>
      </c>
      <c r="AD14" s="4">
        <v>9</v>
      </c>
      <c r="AE14" s="4">
        <v>8</v>
      </c>
      <c r="AF14" s="4">
        <v>7</v>
      </c>
      <c r="AG14" s="4">
        <v>6</v>
      </c>
      <c r="AH14" s="4">
        <v>4</v>
      </c>
      <c r="AI14" s="4">
        <v>3</v>
      </c>
      <c r="AJ14" s="4">
        <v>2</v>
      </c>
      <c r="AK14" s="4">
        <v>1</v>
      </c>
      <c r="AL14" s="4">
        <v>36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0</v>
      </c>
      <c r="CY14" s="4">
        <v>0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  <c r="EE14" s="5">
        <v>9</v>
      </c>
      <c r="EF14" s="5">
        <v>16</v>
      </c>
      <c r="EH14" s="33" t="s">
        <v>48</v>
      </c>
    </row>
    <row r="15" spans="1:266" ht="16.149999999999999" thickBot="1" x14ac:dyDescent="0.55000000000000004">
      <c r="A15" s="5">
        <f t="shared" ref="A15:A24" si="0">B14+1</f>
        <v>17</v>
      </c>
      <c r="B15" s="5">
        <f t="shared" ref="B15:B24" si="1">A15+7</f>
        <v>24</v>
      </c>
      <c r="D15" s="100">
        <v>4</v>
      </c>
      <c r="E15" s="98" t="s">
        <v>16</v>
      </c>
      <c r="F15" s="4">
        <v>5</v>
      </c>
      <c r="G15" s="4">
        <v>17</v>
      </c>
      <c r="H15" s="4">
        <v>32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  <c r="EE15" s="5">
        <v>17</v>
      </c>
      <c r="EF15" s="5">
        <v>24</v>
      </c>
      <c r="EH15" s="34" t="s">
        <v>51</v>
      </c>
    </row>
    <row r="16" spans="1:266" ht="16.5" thickTop="1" thickBot="1" x14ac:dyDescent="0.55000000000000004">
      <c r="A16" s="89">
        <f t="shared" si="0"/>
        <v>25</v>
      </c>
      <c r="B16" s="89">
        <f t="shared" si="1"/>
        <v>32</v>
      </c>
      <c r="D16" s="101"/>
      <c r="E16" s="99"/>
      <c r="F16" s="4">
        <v>36</v>
      </c>
      <c r="G16" s="4">
        <v>35</v>
      </c>
      <c r="H16" s="4">
        <v>34</v>
      </c>
      <c r="I16" s="4">
        <v>33</v>
      </c>
      <c r="J16" s="4">
        <v>31</v>
      </c>
      <c r="K16" s="4">
        <v>30</v>
      </c>
      <c r="L16" s="4">
        <v>29</v>
      </c>
      <c r="M16" s="4">
        <v>28</v>
      </c>
      <c r="N16" s="4">
        <v>27</v>
      </c>
      <c r="O16" s="4">
        <v>26</v>
      </c>
      <c r="P16" s="4">
        <v>25</v>
      </c>
      <c r="Q16" s="4">
        <v>24</v>
      </c>
      <c r="R16" s="4">
        <v>23</v>
      </c>
      <c r="S16" s="4">
        <v>22</v>
      </c>
      <c r="T16" s="4">
        <v>21</v>
      </c>
      <c r="U16" s="4">
        <v>20</v>
      </c>
      <c r="V16" s="4">
        <v>19</v>
      </c>
      <c r="W16" s="4">
        <v>18</v>
      </c>
      <c r="X16" s="4">
        <v>16</v>
      </c>
      <c r="Y16" s="4">
        <v>15</v>
      </c>
      <c r="Z16" s="4">
        <v>14</v>
      </c>
      <c r="AA16" s="4">
        <v>13</v>
      </c>
      <c r="AB16" s="4">
        <v>12</v>
      </c>
      <c r="AC16" s="4">
        <v>11</v>
      </c>
      <c r="AD16" s="4">
        <v>10</v>
      </c>
      <c r="AE16" s="4">
        <v>9</v>
      </c>
      <c r="AF16" s="4">
        <v>8</v>
      </c>
      <c r="AG16" s="4">
        <v>7</v>
      </c>
      <c r="AH16" s="4">
        <v>6</v>
      </c>
      <c r="AI16" s="4">
        <v>4</v>
      </c>
      <c r="AJ16" s="4">
        <v>3</v>
      </c>
      <c r="AK16" s="4">
        <v>2</v>
      </c>
      <c r="AL16" s="4">
        <v>1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4">
        <v>0</v>
      </c>
      <c r="CR16" s="4">
        <v>0</v>
      </c>
      <c r="CS16" s="4">
        <v>0</v>
      </c>
      <c r="CT16" s="4">
        <v>0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  <c r="EE16" s="89">
        <v>25</v>
      </c>
      <c r="EF16" s="89">
        <v>32</v>
      </c>
      <c r="EH16" s="33" t="s">
        <v>48</v>
      </c>
    </row>
    <row r="17" spans="1:138" ht="16.149999999999999" thickBot="1" x14ac:dyDescent="0.55000000000000004">
      <c r="A17" s="89">
        <f t="shared" si="0"/>
        <v>33</v>
      </c>
      <c r="B17" s="89">
        <f t="shared" si="1"/>
        <v>40</v>
      </c>
      <c r="D17" s="100">
        <v>5</v>
      </c>
      <c r="E17" s="98" t="s">
        <v>15</v>
      </c>
      <c r="F17" s="4">
        <v>36</v>
      </c>
      <c r="G17" s="4">
        <v>5</v>
      </c>
      <c r="H17" s="4">
        <v>17</v>
      </c>
      <c r="I17" s="4">
        <v>32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  <c r="EE17" s="89">
        <v>33</v>
      </c>
      <c r="EF17" s="89">
        <v>40</v>
      </c>
      <c r="EH17" s="34" t="s">
        <v>51</v>
      </c>
    </row>
    <row r="18" spans="1:138" ht="16.5" thickTop="1" thickBot="1" x14ac:dyDescent="0.55000000000000004">
      <c r="A18" s="89">
        <f t="shared" si="0"/>
        <v>41</v>
      </c>
      <c r="B18" s="89">
        <f t="shared" si="1"/>
        <v>48</v>
      </c>
      <c r="D18" s="101"/>
      <c r="E18" s="99"/>
      <c r="F18" s="4">
        <v>35</v>
      </c>
      <c r="G18" s="4">
        <v>34</v>
      </c>
      <c r="H18" s="4">
        <v>33</v>
      </c>
      <c r="I18" s="4">
        <v>31</v>
      </c>
      <c r="J18" s="4">
        <v>30</v>
      </c>
      <c r="K18" s="4">
        <v>29</v>
      </c>
      <c r="L18" s="4">
        <v>28</v>
      </c>
      <c r="M18" s="4">
        <v>27</v>
      </c>
      <c r="N18" s="4">
        <v>26</v>
      </c>
      <c r="O18" s="4">
        <v>25</v>
      </c>
      <c r="P18" s="4">
        <v>24</v>
      </c>
      <c r="Q18" s="4">
        <v>23</v>
      </c>
      <c r="R18" s="4">
        <v>22</v>
      </c>
      <c r="S18" s="4">
        <v>21</v>
      </c>
      <c r="T18" s="4">
        <v>20</v>
      </c>
      <c r="U18" s="4">
        <v>19</v>
      </c>
      <c r="V18" s="4">
        <v>18</v>
      </c>
      <c r="W18" s="4">
        <v>16</v>
      </c>
      <c r="X18" s="4">
        <v>15</v>
      </c>
      <c r="Y18" s="4">
        <v>14</v>
      </c>
      <c r="Z18" s="4">
        <v>13</v>
      </c>
      <c r="AA18" s="4">
        <v>12</v>
      </c>
      <c r="AB18" s="4">
        <v>11</v>
      </c>
      <c r="AC18" s="4">
        <v>10</v>
      </c>
      <c r="AD18" s="4">
        <v>9</v>
      </c>
      <c r="AE18" s="4">
        <v>8</v>
      </c>
      <c r="AF18" s="4">
        <v>7</v>
      </c>
      <c r="AG18" s="4">
        <v>6</v>
      </c>
      <c r="AH18" s="4">
        <v>4</v>
      </c>
      <c r="AI18" s="4">
        <v>3</v>
      </c>
      <c r="AJ18" s="4">
        <v>2</v>
      </c>
      <c r="AK18" s="4">
        <v>1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E18" s="89">
        <v>41</v>
      </c>
      <c r="EF18" s="89">
        <v>48</v>
      </c>
      <c r="EH18" s="33" t="s">
        <v>48</v>
      </c>
    </row>
    <row r="19" spans="1:138" ht="16.149999999999999" thickBot="1" x14ac:dyDescent="0.55000000000000004">
      <c r="A19" s="91">
        <f t="shared" si="0"/>
        <v>49</v>
      </c>
      <c r="B19" s="91">
        <f t="shared" si="1"/>
        <v>56</v>
      </c>
      <c r="D19" s="100">
        <v>6</v>
      </c>
      <c r="E19" s="98" t="s">
        <v>15</v>
      </c>
      <c r="F19" s="4">
        <v>35</v>
      </c>
      <c r="G19" s="4">
        <v>36</v>
      </c>
      <c r="H19" s="4">
        <v>5</v>
      </c>
      <c r="I19" s="4">
        <v>17</v>
      </c>
      <c r="J19" s="4">
        <v>32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E19" s="91">
        <v>49</v>
      </c>
      <c r="EF19" s="91">
        <v>56</v>
      </c>
      <c r="EH19" s="34" t="s">
        <v>51</v>
      </c>
    </row>
    <row r="20" spans="1:138" ht="16.5" thickTop="1" thickBot="1" x14ac:dyDescent="0.55000000000000004">
      <c r="A20" s="91">
        <f t="shared" si="0"/>
        <v>57</v>
      </c>
      <c r="B20" s="91">
        <f t="shared" si="1"/>
        <v>64</v>
      </c>
      <c r="D20" s="101"/>
      <c r="E20" s="99"/>
      <c r="F20" s="4">
        <v>34</v>
      </c>
      <c r="G20" s="4">
        <v>33</v>
      </c>
      <c r="H20" s="4">
        <v>31</v>
      </c>
      <c r="I20" s="4">
        <v>30</v>
      </c>
      <c r="J20" s="4">
        <v>29</v>
      </c>
      <c r="K20" s="4">
        <v>28</v>
      </c>
      <c r="L20" s="4">
        <v>27</v>
      </c>
      <c r="M20" s="4">
        <v>26</v>
      </c>
      <c r="N20" s="4">
        <v>25</v>
      </c>
      <c r="O20" s="4">
        <v>24</v>
      </c>
      <c r="P20" s="4">
        <v>23</v>
      </c>
      <c r="Q20" s="4">
        <v>22</v>
      </c>
      <c r="R20" s="4">
        <v>21</v>
      </c>
      <c r="S20" s="4">
        <v>20</v>
      </c>
      <c r="T20" s="4">
        <v>19</v>
      </c>
      <c r="U20" s="4">
        <v>18</v>
      </c>
      <c r="V20" s="4">
        <v>16</v>
      </c>
      <c r="W20" s="4">
        <v>15</v>
      </c>
      <c r="X20" s="4">
        <v>14</v>
      </c>
      <c r="Y20" s="4">
        <v>13</v>
      </c>
      <c r="Z20" s="4">
        <v>12</v>
      </c>
      <c r="AA20" s="4">
        <v>11</v>
      </c>
      <c r="AB20" s="4">
        <v>10</v>
      </c>
      <c r="AC20" s="4">
        <v>9</v>
      </c>
      <c r="AD20" s="4">
        <v>8</v>
      </c>
      <c r="AE20" s="4">
        <v>7</v>
      </c>
      <c r="AF20" s="4">
        <v>6</v>
      </c>
      <c r="AG20" s="4">
        <v>4</v>
      </c>
      <c r="AH20" s="4">
        <v>3</v>
      </c>
      <c r="AI20" s="4">
        <v>2</v>
      </c>
      <c r="AJ20" s="4">
        <v>1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E20" s="91">
        <v>57</v>
      </c>
      <c r="EF20" s="91">
        <v>64</v>
      </c>
      <c r="EH20" s="33" t="s">
        <v>48</v>
      </c>
    </row>
    <row r="21" spans="1:138" ht="16.149999999999999" thickBot="1" x14ac:dyDescent="0.55000000000000004">
      <c r="A21" s="91">
        <f t="shared" si="0"/>
        <v>65</v>
      </c>
      <c r="B21" s="91">
        <f t="shared" si="1"/>
        <v>72</v>
      </c>
      <c r="D21" s="100">
        <v>7</v>
      </c>
      <c r="E21" s="98" t="s">
        <v>15</v>
      </c>
      <c r="F21" s="4">
        <v>34</v>
      </c>
      <c r="G21" s="4">
        <v>35</v>
      </c>
      <c r="H21" s="4">
        <v>36</v>
      </c>
      <c r="I21" s="4">
        <v>5</v>
      </c>
      <c r="J21" s="4">
        <v>17</v>
      </c>
      <c r="K21" s="4">
        <v>32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E21" s="91">
        <v>65</v>
      </c>
      <c r="EF21" s="91">
        <v>72</v>
      </c>
      <c r="EH21" s="34" t="s">
        <v>51</v>
      </c>
    </row>
    <row r="22" spans="1:138" ht="16.5" thickTop="1" thickBot="1" x14ac:dyDescent="0.55000000000000004">
      <c r="A22" s="90">
        <f t="shared" si="0"/>
        <v>73</v>
      </c>
      <c r="B22" s="90">
        <f t="shared" si="1"/>
        <v>80</v>
      </c>
      <c r="D22" s="101"/>
      <c r="E22" s="99"/>
      <c r="F22" s="4">
        <v>33</v>
      </c>
      <c r="G22" s="4">
        <v>31</v>
      </c>
      <c r="H22" s="4">
        <v>30</v>
      </c>
      <c r="I22" s="4">
        <v>29</v>
      </c>
      <c r="J22" s="4">
        <v>28</v>
      </c>
      <c r="K22" s="4">
        <v>27</v>
      </c>
      <c r="L22" s="4">
        <v>26</v>
      </c>
      <c r="M22" s="4">
        <v>25</v>
      </c>
      <c r="N22" s="4">
        <v>24</v>
      </c>
      <c r="O22" s="4">
        <v>23</v>
      </c>
      <c r="P22" s="4">
        <v>22</v>
      </c>
      <c r="Q22" s="4">
        <v>21</v>
      </c>
      <c r="R22" s="4">
        <v>20</v>
      </c>
      <c r="S22" s="4">
        <v>19</v>
      </c>
      <c r="T22" s="4">
        <v>18</v>
      </c>
      <c r="U22" s="4">
        <v>16</v>
      </c>
      <c r="V22" s="4">
        <v>15</v>
      </c>
      <c r="W22" s="4">
        <v>14</v>
      </c>
      <c r="X22" s="4">
        <v>13</v>
      </c>
      <c r="Y22" s="4">
        <v>12</v>
      </c>
      <c r="Z22" s="4">
        <v>11</v>
      </c>
      <c r="AA22" s="4">
        <v>10</v>
      </c>
      <c r="AB22" s="4">
        <v>9</v>
      </c>
      <c r="AC22" s="4">
        <v>8</v>
      </c>
      <c r="AD22" s="4">
        <v>7</v>
      </c>
      <c r="AE22" s="4">
        <v>6</v>
      </c>
      <c r="AF22" s="4">
        <v>4</v>
      </c>
      <c r="AG22" s="4">
        <v>3</v>
      </c>
      <c r="AH22" s="4">
        <v>2</v>
      </c>
      <c r="AI22" s="4">
        <v>1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  <c r="EE22" s="90">
        <v>73</v>
      </c>
      <c r="EF22" s="90">
        <v>80</v>
      </c>
      <c r="EH22" s="33" t="s">
        <v>48</v>
      </c>
    </row>
    <row r="23" spans="1:138" ht="16.149999999999999" thickBot="1" x14ac:dyDescent="0.55000000000000004">
      <c r="A23" s="90">
        <f t="shared" si="0"/>
        <v>81</v>
      </c>
      <c r="B23" s="90">
        <f t="shared" si="1"/>
        <v>88</v>
      </c>
      <c r="D23" s="100">
        <v>8</v>
      </c>
      <c r="E23" s="98" t="s">
        <v>15</v>
      </c>
      <c r="F23" s="4">
        <v>33</v>
      </c>
      <c r="G23" s="4">
        <v>34</v>
      </c>
      <c r="H23" s="4">
        <v>35</v>
      </c>
      <c r="I23" s="4">
        <v>36</v>
      </c>
      <c r="J23" s="4">
        <v>5</v>
      </c>
      <c r="K23" s="4">
        <v>17</v>
      </c>
      <c r="L23" s="4">
        <v>32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DZ23" s="4">
        <v>0</v>
      </c>
      <c r="EA23" s="4">
        <v>0</v>
      </c>
      <c r="EB23" s="4">
        <v>0</v>
      </c>
      <c r="EC23" s="4">
        <v>0</v>
      </c>
      <c r="EE23" s="90">
        <v>81</v>
      </c>
      <c r="EF23" s="90">
        <v>88</v>
      </c>
      <c r="EH23" s="34" t="s">
        <v>51</v>
      </c>
    </row>
    <row r="24" spans="1:138" ht="16.5" thickTop="1" thickBot="1" x14ac:dyDescent="0.55000000000000004">
      <c r="A24" s="90">
        <f t="shared" si="0"/>
        <v>89</v>
      </c>
      <c r="B24" s="90">
        <f t="shared" si="1"/>
        <v>96</v>
      </c>
      <c r="D24" s="101"/>
      <c r="E24" s="99"/>
      <c r="F24" s="4">
        <v>31</v>
      </c>
      <c r="G24" s="4">
        <v>30</v>
      </c>
      <c r="H24" s="4">
        <v>29</v>
      </c>
      <c r="I24" s="4">
        <v>28</v>
      </c>
      <c r="J24" s="4">
        <v>27</v>
      </c>
      <c r="K24" s="4">
        <v>26</v>
      </c>
      <c r="L24" s="4">
        <v>25</v>
      </c>
      <c r="M24" s="4">
        <v>24</v>
      </c>
      <c r="N24" s="4">
        <v>23</v>
      </c>
      <c r="O24" s="4">
        <v>22</v>
      </c>
      <c r="P24" s="4">
        <v>21</v>
      </c>
      <c r="Q24" s="4">
        <v>20</v>
      </c>
      <c r="R24" s="4">
        <v>19</v>
      </c>
      <c r="S24" s="4">
        <v>18</v>
      </c>
      <c r="T24" s="4">
        <v>16</v>
      </c>
      <c r="U24" s="4">
        <v>15</v>
      </c>
      <c r="V24" s="4">
        <v>14</v>
      </c>
      <c r="W24" s="4">
        <v>13</v>
      </c>
      <c r="X24" s="4">
        <v>12</v>
      </c>
      <c r="Y24" s="4">
        <v>11</v>
      </c>
      <c r="Z24" s="4">
        <v>10</v>
      </c>
      <c r="AA24" s="4">
        <v>9</v>
      </c>
      <c r="AB24" s="4">
        <v>8</v>
      </c>
      <c r="AC24" s="4">
        <v>7</v>
      </c>
      <c r="AD24" s="4">
        <v>6</v>
      </c>
      <c r="AE24" s="4">
        <v>4</v>
      </c>
      <c r="AF24" s="4">
        <v>3</v>
      </c>
      <c r="AG24" s="4">
        <v>2</v>
      </c>
      <c r="AH24" s="4">
        <v>1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  <c r="EE24" s="90">
        <v>89</v>
      </c>
      <c r="EF24" s="90">
        <v>96</v>
      </c>
      <c r="EH24" s="33" t="s">
        <v>48</v>
      </c>
    </row>
    <row r="25" spans="1:138" ht="16.149999999999999" thickBot="1" x14ac:dyDescent="0.55000000000000004">
      <c r="D25" s="100">
        <v>9</v>
      </c>
      <c r="E25" s="98" t="s">
        <v>19</v>
      </c>
      <c r="F25" s="4">
        <v>32</v>
      </c>
      <c r="G25" s="4">
        <v>33</v>
      </c>
      <c r="H25" s="4">
        <v>34</v>
      </c>
      <c r="I25" s="4">
        <v>35</v>
      </c>
      <c r="J25" s="4">
        <v>36</v>
      </c>
      <c r="K25" s="4">
        <v>5</v>
      </c>
      <c r="L25" s="4">
        <v>17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H25" s="34" t="s">
        <v>51</v>
      </c>
    </row>
    <row r="26" spans="1:138" ht="16.5" thickTop="1" thickBot="1" x14ac:dyDescent="0.55000000000000004">
      <c r="D26" s="101"/>
      <c r="E26" s="99"/>
      <c r="F26" s="4">
        <v>31</v>
      </c>
      <c r="G26" s="4">
        <v>30</v>
      </c>
      <c r="H26" s="4">
        <v>29</v>
      </c>
      <c r="I26" s="4">
        <v>28</v>
      </c>
      <c r="J26" s="4">
        <v>27</v>
      </c>
      <c r="K26" s="4">
        <v>26</v>
      </c>
      <c r="L26" s="4">
        <v>25</v>
      </c>
      <c r="M26" s="4">
        <v>24</v>
      </c>
      <c r="N26" s="4">
        <v>23</v>
      </c>
      <c r="O26" s="4">
        <v>22</v>
      </c>
      <c r="P26" s="4">
        <v>21</v>
      </c>
      <c r="Q26" s="4">
        <v>20</v>
      </c>
      <c r="R26" s="4">
        <v>19</v>
      </c>
      <c r="S26" s="4">
        <v>18</v>
      </c>
      <c r="T26" s="4">
        <v>16</v>
      </c>
      <c r="U26" s="4">
        <v>15</v>
      </c>
      <c r="V26" s="4">
        <v>14</v>
      </c>
      <c r="W26" s="4">
        <v>13</v>
      </c>
      <c r="X26" s="4">
        <v>12</v>
      </c>
      <c r="Y26" s="4">
        <v>11</v>
      </c>
      <c r="Z26" s="4">
        <v>10</v>
      </c>
      <c r="AA26" s="4">
        <v>9</v>
      </c>
      <c r="AB26" s="4">
        <v>8</v>
      </c>
      <c r="AC26" s="4">
        <v>7</v>
      </c>
      <c r="AD26" s="4">
        <v>6</v>
      </c>
      <c r="AE26" s="4">
        <v>4</v>
      </c>
      <c r="AF26" s="4">
        <v>3</v>
      </c>
      <c r="AG26" s="4">
        <v>2</v>
      </c>
      <c r="AH26" s="4">
        <v>1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H26" s="33" t="s">
        <v>48</v>
      </c>
    </row>
    <row r="27" spans="1:138" ht="16.149999999999999" thickBot="1" x14ac:dyDescent="0.55000000000000004">
      <c r="D27" s="100">
        <v>10</v>
      </c>
      <c r="E27" s="98" t="s">
        <v>15</v>
      </c>
      <c r="F27" s="4">
        <v>31</v>
      </c>
      <c r="G27" s="4">
        <v>32</v>
      </c>
      <c r="H27" s="4">
        <v>33</v>
      </c>
      <c r="I27" s="4">
        <v>34</v>
      </c>
      <c r="J27" s="4">
        <v>35</v>
      </c>
      <c r="K27" s="4">
        <v>36</v>
      </c>
      <c r="L27" s="4">
        <v>5</v>
      </c>
      <c r="M27" s="4">
        <v>17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H27" s="34" t="s">
        <v>51</v>
      </c>
    </row>
    <row r="28" spans="1:138" ht="16.5" thickTop="1" thickBot="1" x14ac:dyDescent="0.55000000000000004">
      <c r="D28" s="101"/>
      <c r="E28" s="99"/>
      <c r="F28" s="4">
        <v>30</v>
      </c>
      <c r="G28" s="4">
        <v>29</v>
      </c>
      <c r="H28" s="4">
        <v>28</v>
      </c>
      <c r="I28" s="4">
        <v>27</v>
      </c>
      <c r="J28" s="4">
        <v>26</v>
      </c>
      <c r="K28" s="4">
        <v>25</v>
      </c>
      <c r="L28" s="4">
        <v>24</v>
      </c>
      <c r="M28" s="4">
        <v>23</v>
      </c>
      <c r="N28" s="4">
        <v>22</v>
      </c>
      <c r="O28" s="4">
        <v>21</v>
      </c>
      <c r="P28" s="4">
        <v>20</v>
      </c>
      <c r="Q28" s="4">
        <v>19</v>
      </c>
      <c r="R28" s="4">
        <v>18</v>
      </c>
      <c r="S28" s="4">
        <v>16</v>
      </c>
      <c r="T28" s="4">
        <v>15</v>
      </c>
      <c r="U28" s="4">
        <v>14</v>
      </c>
      <c r="V28" s="4">
        <v>13</v>
      </c>
      <c r="W28" s="4">
        <v>12</v>
      </c>
      <c r="X28" s="4">
        <v>11</v>
      </c>
      <c r="Y28" s="4">
        <v>10</v>
      </c>
      <c r="Z28" s="4">
        <v>9</v>
      </c>
      <c r="AA28" s="4">
        <v>8</v>
      </c>
      <c r="AB28" s="4">
        <v>7</v>
      </c>
      <c r="AC28" s="4">
        <v>6</v>
      </c>
      <c r="AD28" s="4">
        <v>4</v>
      </c>
      <c r="AE28" s="4">
        <v>3</v>
      </c>
      <c r="AF28" s="4">
        <v>2</v>
      </c>
      <c r="AG28" s="4">
        <v>1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H28" s="33" t="s">
        <v>48</v>
      </c>
    </row>
    <row r="29" spans="1:138" ht="16.149999999999999" thickBot="1" x14ac:dyDescent="0.55000000000000004">
      <c r="D29" s="100">
        <v>11</v>
      </c>
      <c r="E29" s="98" t="s">
        <v>15</v>
      </c>
      <c r="F29" s="4">
        <v>30</v>
      </c>
      <c r="G29" s="4">
        <v>31</v>
      </c>
      <c r="H29" s="4">
        <v>32</v>
      </c>
      <c r="I29" s="4">
        <v>33</v>
      </c>
      <c r="J29" s="4">
        <v>34</v>
      </c>
      <c r="K29" s="4">
        <v>35</v>
      </c>
      <c r="L29" s="4">
        <v>36</v>
      </c>
      <c r="M29" s="4">
        <v>5</v>
      </c>
      <c r="N29" s="4">
        <v>17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H29" s="34" t="s">
        <v>51</v>
      </c>
    </row>
    <row r="30" spans="1:138" ht="16.5" thickTop="1" thickBot="1" x14ac:dyDescent="0.55000000000000004">
      <c r="D30" s="101"/>
      <c r="E30" s="99"/>
      <c r="F30" s="4">
        <v>29</v>
      </c>
      <c r="G30" s="4">
        <v>28</v>
      </c>
      <c r="H30" s="4">
        <v>27</v>
      </c>
      <c r="I30" s="4">
        <v>26</v>
      </c>
      <c r="J30" s="4">
        <v>25</v>
      </c>
      <c r="K30" s="4">
        <v>24</v>
      </c>
      <c r="L30" s="4">
        <v>23</v>
      </c>
      <c r="M30" s="4">
        <v>22</v>
      </c>
      <c r="N30" s="4">
        <v>21</v>
      </c>
      <c r="O30" s="4">
        <v>20</v>
      </c>
      <c r="P30" s="4">
        <v>19</v>
      </c>
      <c r="Q30" s="4">
        <v>18</v>
      </c>
      <c r="R30" s="4">
        <v>16</v>
      </c>
      <c r="S30" s="4">
        <v>15</v>
      </c>
      <c r="T30" s="4">
        <v>14</v>
      </c>
      <c r="U30" s="4">
        <v>13</v>
      </c>
      <c r="V30" s="4">
        <v>12</v>
      </c>
      <c r="W30" s="4">
        <v>11</v>
      </c>
      <c r="X30" s="4">
        <v>10</v>
      </c>
      <c r="Y30" s="4">
        <v>9</v>
      </c>
      <c r="Z30" s="4">
        <v>8</v>
      </c>
      <c r="AA30" s="4">
        <v>7</v>
      </c>
      <c r="AB30" s="4">
        <v>6</v>
      </c>
      <c r="AC30" s="4">
        <v>4</v>
      </c>
      <c r="AD30" s="4">
        <v>3</v>
      </c>
      <c r="AE30" s="4">
        <v>2</v>
      </c>
      <c r="AF30" s="4">
        <v>1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H30" s="33" t="s">
        <v>48</v>
      </c>
    </row>
    <row r="31" spans="1:138" ht="16.149999999999999" thickBot="1" x14ac:dyDescent="0.55000000000000004">
      <c r="D31" s="100">
        <v>12</v>
      </c>
      <c r="E31" s="98" t="s">
        <v>15</v>
      </c>
      <c r="F31" s="4">
        <v>29</v>
      </c>
      <c r="G31" s="4">
        <v>30</v>
      </c>
      <c r="H31" s="4">
        <v>31</v>
      </c>
      <c r="I31" s="4">
        <v>32</v>
      </c>
      <c r="J31" s="4">
        <v>33</v>
      </c>
      <c r="K31" s="4">
        <v>34</v>
      </c>
      <c r="L31" s="4">
        <v>35</v>
      </c>
      <c r="M31" s="4">
        <v>36</v>
      </c>
      <c r="N31" s="4">
        <v>5</v>
      </c>
      <c r="O31" s="4">
        <v>17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H31" s="34" t="s">
        <v>51</v>
      </c>
    </row>
    <row r="32" spans="1:138" ht="16.5" thickTop="1" thickBot="1" x14ac:dyDescent="0.55000000000000004">
      <c r="D32" s="101"/>
      <c r="E32" s="99"/>
      <c r="F32" s="4">
        <v>28</v>
      </c>
      <c r="G32" s="4">
        <v>27</v>
      </c>
      <c r="H32" s="4">
        <v>26</v>
      </c>
      <c r="I32" s="4">
        <v>25</v>
      </c>
      <c r="J32" s="4">
        <v>24</v>
      </c>
      <c r="K32" s="4">
        <v>23</v>
      </c>
      <c r="L32" s="4">
        <v>22</v>
      </c>
      <c r="M32" s="4">
        <v>21</v>
      </c>
      <c r="N32" s="4">
        <v>20</v>
      </c>
      <c r="O32" s="4">
        <v>19</v>
      </c>
      <c r="P32" s="4">
        <v>18</v>
      </c>
      <c r="Q32" s="4">
        <v>16</v>
      </c>
      <c r="R32" s="4">
        <v>15</v>
      </c>
      <c r="S32" s="4">
        <v>14</v>
      </c>
      <c r="T32" s="4">
        <v>13</v>
      </c>
      <c r="U32" s="4">
        <v>12</v>
      </c>
      <c r="V32" s="4">
        <v>11</v>
      </c>
      <c r="W32" s="4">
        <v>10</v>
      </c>
      <c r="X32" s="4">
        <v>9</v>
      </c>
      <c r="Y32" s="4">
        <v>8</v>
      </c>
      <c r="Z32" s="4">
        <v>7</v>
      </c>
      <c r="AA32" s="4">
        <v>6</v>
      </c>
      <c r="AB32" s="4">
        <v>4</v>
      </c>
      <c r="AC32" s="4">
        <v>3</v>
      </c>
      <c r="AD32" s="4">
        <v>2</v>
      </c>
      <c r="AE32" s="4">
        <v>1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H32" s="33" t="s">
        <v>48</v>
      </c>
    </row>
    <row r="33" spans="4:138" ht="16.149999999999999" thickBot="1" x14ac:dyDescent="0.55000000000000004">
      <c r="D33" s="100">
        <v>13</v>
      </c>
      <c r="E33" s="98" t="s">
        <v>15</v>
      </c>
      <c r="F33" s="4">
        <v>28</v>
      </c>
      <c r="G33" s="4">
        <v>29</v>
      </c>
      <c r="H33" s="4">
        <v>30</v>
      </c>
      <c r="I33" s="4">
        <v>31</v>
      </c>
      <c r="J33" s="4">
        <v>32</v>
      </c>
      <c r="K33" s="4">
        <v>33</v>
      </c>
      <c r="L33" s="4">
        <v>34</v>
      </c>
      <c r="M33" s="4">
        <v>35</v>
      </c>
      <c r="N33" s="4">
        <v>36</v>
      </c>
      <c r="O33" s="4">
        <v>5</v>
      </c>
      <c r="P33" s="4">
        <v>17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H33" s="34" t="s">
        <v>51</v>
      </c>
    </row>
    <row r="34" spans="4:138" ht="16.5" thickTop="1" thickBot="1" x14ac:dyDescent="0.55000000000000004">
      <c r="D34" s="101"/>
      <c r="E34" s="99"/>
      <c r="F34" s="4">
        <v>27</v>
      </c>
      <c r="G34" s="4">
        <v>26</v>
      </c>
      <c r="H34" s="4">
        <v>25</v>
      </c>
      <c r="I34" s="4">
        <v>24</v>
      </c>
      <c r="J34" s="4">
        <v>23</v>
      </c>
      <c r="K34" s="4">
        <v>22</v>
      </c>
      <c r="L34" s="4">
        <v>21</v>
      </c>
      <c r="M34" s="4">
        <v>20</v>
      </c>
      <c r="N34" s="4">
        <v>19</v>
      </c>
      <c r="O34" s="4">
        <v>18</v>
      </c>
      <c r="P34" s="4">
        <v>16</v>
      </c>
      <c r="Q34" s="4">
        <v>15</v>
      </c>
      <c r="R34" s="4">
        <v>14</v>
      </c>
      <c r="S34" s="4">
        <v>13</v>
      </c>
      <c r="T34" s="4">
        <v>12</v>
      </c>
      <c r="U34" s="4">
        <v>11</v>
      </c>
      <c r="V34" s="4">
        <v>10</v>
      </c>
      <c r="W34" s="4">
        <v>9</v>
      </c>
      <c r="X34" s="4">
        <v>8</v>
      </c>
      <c r="Y34" s="4">
        <v>7</v>
      </c>
      <c r="Z34" s="4">
        <v>6</v>
      </c>
      <c r="AA34" s="4">
        <v>4</v>
      </c>
      <c r="AB34" s="4">
        <v>3</v>
      </c>
      <c r="AC34" s="4">
        <v>2</v>
      </c>
      <c r="AD34" s="4">
        <v>1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H34" s="33" t="s">
        <v>48</v>
      </c>
    </row>
    <row r="35" spans="4:138" ht="16.149999999999999" thickBot="1" x14ac:dyDescent="0.55000000000000004">
      <c r="D35" s="100">
        <v>14</v>
      </c>
      <c r="E35" s="98" t="s">
        <v>15</v>
      </c>
      <c r="F35" s="4">
        <v>27</v>
      </c>
      <c r="G35" s="4">
        <v>28</v>
      </c>
      <c r="H35" s="4">
        <v>29</v>
      </c>
      <c r="I35" s="4">
        <v>30</v>
      </c>
      <c r="J35" s="4">
        <v>31</v>
      </c>
      <c r="K35" s="4">
        <v>32</v>
      </c>
      <c r="L35" s="4">
        <v>33</v>
      </c>
      <c r="M35" s="4">
        <v>34</v>
      </c>
      <c r="N35" s="4">
        <v>35</v>
      </c>
      <c r="O35" s="4">
        <v>36</v>
      </c>
      <c r="P35" s="4">
        <v>5</v>
      </c>
      <c r="Q35" s="4">
        <v>17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H35" s="34" t="s">
        <v>51</v>
      </c>
    </row>
    <row r="36" spans="4:138" ht="16.5" thickTop="1" thickBot="1" x14ac:dyDescent="0.55000000000000004">
      <c r="D36" s="101"/>
      <c r="E36" s="99"/>
      <c r="F36" s="4">
        <v>26</v>
      </c>
      <c r="G36" s="4">
        <v>25</v>
      </c>
      <c r="H36" s="4">
        <v>24</v>
      </c>
      <c r="I36" s="4">
        <v>23</v>
      </c>
      <c r="J36" s="4">
        <v>22</v>
      </c>
      <c r="K36" s="4">
        <v>21</v>
      </c>
      <c r="L36" s="4">
        <v>20</v>
      </c>
      <c r="M36" s="4">
        <v>19</v>
      </c>
      <c r="N36" s="4">
        <v>18</v>
      </c>
      <c r="O36" s="4">
        <v>16</v>
      </c>
      <c r="P36" s="4">
        <v>15</v>
      </c>
      <c r="Q36" s="4">
        <v>14</v>
      </c>
      <c r="R36" s="4">
        <v>13</v>
      </c>
      <c r="S36" s="4">
        <v>12</v>
      </c>
      <c r="T36" s="4">
        <v>11</v>
      </c>
      <c r="U36" s="4">
        <v>10</v>
      </c>
      <c r="V36" s="4">
        <v>9</v>
      </c>
      <c r="W36" s="4">
        <v>8</v>
      </c>
      <c r="X36" s="4">
        <v>7</v>
      </c>
      <c r="Y36" s="4">
        <v>6</v>
      </c>
      <c r="Z36" s="4">
        <v>4</v>
      </c>
      <c r="AA36" s="4">
        <v>3</v>
      </c>
      <c r="AB36" s="4">
        <v>2</v>
      </c>
      <c r="AC36" s="4">
        <v>1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H36" s="33" t="s">
        <v>48</v>
      </c>
    </row>
    <row r="37" spans="4:138" ht="16.149999999999999" thickBot="1" x14ac:dyDescent="0.55000000000000004">
      <c r="D37" s="100">
        <v>15</v>
      </c>
      <c r="E37" s="98" t="s">
        <v>15</v>
      </c>
      <c r="F37" s="4">
        <v>26</v>
      </c>
      <c r="G37" s="4">
        <v>27</v>
      </c>
      <c r="H37" s="4">
        <v>28</v>
      </c>
      <c r="I37" s="4">
        <v>29</v>
      </c>
      <c r="J37" s="4">
        <v>30</v>
      </c>
      <c r="K37" s="4">
        <v>31</v>
      </c>
      <c r="L37" s="4">
        <v>32</v>
      </c>
      <c r="M37" s="4">
        <v>33</v>
      </c>
      <c r="N37" s="4">
        <v>34</v>
      </c>
      <c r="O37" s="4">
        <v>35</v>
      </c>
      <c r="P37" s="4">
        <v>36</v>
      </c>
      <c r="Q37" s="4">
        <v>5</v>
      </c>
      <c r="R37" s="4">
        <v>17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H37" s="34" t="s">
        <v>51</v>
      </c>
    </row>
    <row r="38" spans="4:138" ht="16.5" thickTop="1" thickBot="1" x14ac:dyDescent="0.55000000000000004">
      <c r="D38" s="101"/>
      <c r="E38" s="99"/>
      <c r="F38" s="4">
        <v>25</v>
      </c>
      <c r="G38" s="4">
        <v>24</v>
      </c>
      <c r="H38" s="4">
        <v>23</v>
      </c>
      <c r="I38" s="4">
        <v>22</v>
      </c>
      <c r="J38" s="4">
        <v>21</v>
      </c>
      <c r="K38" s="4">
        <v>20</v>
      </c>
      <c r="L38" s="4">
        <v>19</v>
      </c>
      <c r="M38" s="4">
        <v>18</v>
      </c>
      <c r="N38" s="4">
        <v>16</v>
      </c>
      <c r="O38" s="4">
        <v>15</v>
      </c>
      <c r="P38" s="4">
        <v>14</v>
      </c>
      <c r="Q38" s="4">
        <v>13</v>
      </c>
      <c r="R38" s="4">
        <v>12</v>
      </c>
      <c r="S38" s="4">
        <v>11</v>
      </c>
      <c r="T38" s="4">
        <v>10</v>
      </c>
      <c r="U38" s="4">
        <v>9</v>
      </c>
      <c r="V38" s="4">
        <v>8</v>
      </c>
      <c r="W38" s="4">
        <v>7</v>
      </c>
      <c r="X38" s="4">
        <v>6</v>
      </c>
      <c r="Y38" s="4">
        <v>4</v>
      </c>
      <c r="Z38" s="4">
        <v>3</v>
      </c>
      <c r="AA38" s="4">
        <v>2</v>
      </c>
      <c r="AB38" s="4">
        <v>1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H38" s="33" t="s">
        <v>48</v>
      </c>
    </row>
    <row r="39" spans="4:138" ht="16.149999999999999" thickBot="1" x14ac:dyDescent="0.55000000000000004">
      <c r="D39" s="100">
        <v>16</v>
      </c>
      <c r="E39" s="98" t="s">
        <v>15</v>
      </c>
      <c r="F39" s="4">
        <v>25</v>
      </c>
      <c r="G39" s="4">
        <v>26</v>
      </c>
      <c r="H39" s="4">
        <v>27</v>
      </c>
      <c r="I39" s="4">
        <v>28</v>
      </c>
      <c r="J39" s="4">
        <v>29</v>
      </c>
      <c r="K39" s="4">
        <v>30</v>
      </c>
      <c r="L39" s="4">
        <v>31</v>
      </c>
      <c r="M39" s="4">
        <v>32</v>
      </c>
      <c r="N39" s="4">
        <v>33</v>
      </c>
      <c r="O39" s="4">
        <v>34</v>
      </c>
      <c r="P39" s="4">
        <v>35</v>
      </c>
      <c r="Q39" s="4">
        <v>36</v>
      </c>
      <c r="R39" s="4">
        <v>5</v>
      </c>
      <c r="S39" s="4">
        <v>17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  <c r="EH39" s="34" t="s">
        <v>51</v>
      </c>
    </row>
    <row r="40" spans="4:138" ht="16.5" thickTop="1" thickBot="1" x14ac:dyDescent="0.55000000000000004">
      <c r="D40" s="101"/>
      <c r="E40" s="99"/>
      <c r="F40" s="4">
        <v>24</v>
      </c>
      <c r="G40" s="4">
        <v>23</v>
      </c>
      <c r="H40" s="4">
        <v>22</v>
      </c>
      <c r="I40" s="4">
        <v>21</v>
      </c>
      <c r="J40" s="4">
        <v>20</v>
      </c>
      <c r="K40" s="4">
        <v>19</v>
      </c>
      <c r="L40" s="4">
        <v>18</v>
      </c>
      <c r="M40" s="4">
        <v>16</v>
      </c>
      <c r="N40" s="4">
        <v>15</v>
      </c>
      <c r="O40" s="4">
        <v>14</v>
      </c>
      <c r="P40" s="4">
        <v>13</v>
      </c>
      <c r="Q40" s="4">
        <v>12</v>
      </c>
      <c r="R40" s="4">
        <v>11</v>
      </c>
      <c r="S40" s="4">
        <v>10</v>
      </c>
      <c r="T40" s="4">
        <v>9</v>
      </c>
      <c r="U40" s="4">
        <v>8</v>
      </c>
      <c r="V40" s="4">
        <v>7</v>
      </c>
      <c r="W40" s="4">
        <v>6</v>
      </c>
      <c r="X40" s="4">
        <v>4</v>
      </c>
      <c r="Y40" s="4">
        <v>3</v>
      </c>
      <c r="Z40" s="4">
        <v>2</v>
      </c>
      <c r="AA40" s="4">
        <v>1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0</v>
      </c>
      <c r="EA40" s="4">
        <v>0</v>
      </c>
      <c r="EB40" s="4">
        <v>0</v>
      </c>
      <c r="EC40" s="4">
        <v>0</v>
      </c>
      <c r="EH40" s="33" t="s">
        <v>48</v>
      </c>
    </row>
    <row r="41" spans="4:138" ht="16.149999999999999" thickBot="1" x14ac:dyDescent="0.55000000000000004">
      <c r="D41" s="100">
        <v>17</v>
      </c>
      <c r="E41" s="98" t="s">
        <v>15</v>
      </c>
      <c r="F41" s="4">
        <v>24</v>
      </c>
      <c r="G41" s="4">
        <v>25</v>
      </c>
      <c r="H41" s="4">
        <v>26</v>
      </c>
      <c r="I41" s="4">
        <v>27</v>
      </c>
      <c r="J41" s="4">
        <v>28</v>
      </c>
      <c r="K41" s="4">
        <v>29</v>
      </c>
      <c r="L41" s="4">
        <v>30</v>
      </c>
      <c r="M41" s="4">
        <v>31</v>
      </c>
      <c r="N41" s="4">
        <v>32</v>
      </c>
      <c r="O41" s="4">
        <v>33</v>
      </c>
      <c r="P41" s="4">
        <v>34</v>
      </c>
      <c r="Q41" s="4">
        <v>35</v>
      </c>
      <c r="R41" s="4">
        <v>36</v>
      </c>
      <c r="S41" s="4">
        <v>5</v>
      </c>
      <c r="T41" s="4">
        <v>17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  <c r="EH41" s="34" t="s">
        <v>51</v>
      </c>
    </row>
    <row r="42" spans="4:138" ht="16.5" thickTop="1" thickBot="1" x14ac:dyDescent="0.55000000000000004">
      <c r="D42" s="101"/>
      <c r="E42" s="99"/>
      <c r="F42" s="4">
        <v>23</v>
      </c>
      <c r="G42" s="4">
        <v>22</v>
      </c>
      <c r="H42" s="4">
        <v>21</v>
      </c>
      <c r="I42" s="4">
        <v>20</v>
      </c>
      <c r="J42" s="4">
        <v>19</v>
      </c>
      <c r="K42" s="4">
        <v>18</v>
      </c>
      <c r="L42" s="4">
        <v>16</v>
      </c>
      <c r="M42" s="4">
        <v>15</v>
      </c>
      <c r="N42" s="4">
        <v>14</v>
      </c>
      <c r="O42" s="4">
        <v>13</v>
      </c>
      <c r="P42" s="4">
        <v>12</v>
      </c>
      <c r="Q42" s="4">
        <v>11</v>
      </c>
      <c r="R42" s="4">
        <v>10</v>
      </c>
      <c r="S42" s="4">
        <v>9</v>
      </c>
      <c r="T42" s="4">
        <v>8</v>
      </c>
      <c r="U42" s="4">
        <v>7</v>
      </c>
      <c r="V42" s="4">
        <v>6</v>
      </c>
      <c r="W42" s="4">
        <v>4</v>
      </c>
      <c r="X42" s="4">
        <v>3</v>
      </c>
      <c r="Y42" s="4">
        <v>2</v>
      </c>
      <c r="Z42" s="4">
        <v>1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  <c r="EH42" s="33" t="s">
        <v>48</v>
      </c>
    </row>
    <row r="43" spans="4:138" ht="16.149999999999999" thickBot="1" x14ac:dyDescent="0.55000000000000004">
      <c r="D43" s="100">
        <v>18</v>
      </c>
      <c r="E43" s="98" t="s">
        <v>15</v>
      </c>
      <c r="F43" s="4">
        <v>23</v>
      </c>
      <c r="G43" s="4">
        <v>24</v>
      </c>
      <c r="H43" s="4">
        <v>25</v>
      </c>
      <c r="I43" s="4">
        <v>26</v>
      </c>
      <c r="J43" s="4">
        <v>27</v>
      </c>
      <c r="K43" s="4">
        <v>28</v>
      </c>
      <c r="L43" s="4">
        <v>29</v>
      </c>
      <c r="M43" s="4">
        <v>30</v>
      </c>
      <c r="N43" s="4">
        <v>31</v>
      </c>
      <c r="O43" s="4">
        <v>32</v>
      </c>
      <c r="P43" s="4">
        <v>33</v>
      </c>
      <c r="Q43" s="4">
        <v>34</v>
      </c>
      <c r="R43" s="4">
        <v>35</v>
      </c>
      <c r="S43" s="4">
        <v>36</v>
      </c>
      <c r="T43" s="4">
        <v>5</v>
      </c>
      <c r="U43" s="4">
        <v>17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H43" s="34" t="s">
        <v>51</v>
      </c>
    </row>
    <row r="44" spans="4:138" ht="16.5" thickTop="1" thickBot="1" x14ac:dyDescent="0.55000000000000004">
      <c r="D44" s="101"/>
      <c r="E44" s="99"/>
      <c r="F44" s="4">
        <v>22</v>
      </c>
      <c r="G44" s="4">
        <v>21</v>
      </c>
      <c r="H44" s="4">
        <v>20</v>
      </c>
      <c r="I44" s="4">
        <v>19</v>
      </c>
      <c r="J44" s="4">
        <v>18</v>
      </c>
      <c r="K44" s="4">
        <v>16</v>
      </c>
      <c r="L44" s="4">
        <v>15</v>
      </c>
      <c r="M44" s="4">
        <v>14</v>
      </c>
      <c r="N44" s="4">
        <v>13</v>
      </c>
      <c r="O44" s="4">
        <v>12</v>
      </c>
      <c r="P44" s="4">
        <v>11</v>
      </c>
      <c r="Q44" s="4">
        <v>10</v>
      </c>
      <c r="R44" s="4">
        <v>9</v>
      </c>
      <c r="S44" s="4">
        <v>8</v>
      </c>
      <c r="T44" s="4">
        <v>7</v>
      </c>
      <c r="U44" s="4">
        <v>6</v>
      </c>
      <c r="V44" s="4">
        <v>4</v>
      </c>
      <c r="W44" s="4">
        <v>3</v>
      </c>
      <c r="X44" s="4">
        <v>2</v>
      </c>
      <c r="Y44" s="4">
        <v>1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H44" s="33" t="s">
        <v>48</v>
      </c>
    </row>
    <row r="45" spans="4:138" ht="16.149999999999999" thickBot="1" x14ac:dyDescent="0.55000000000000004">
      <c r="D45" s="100">
        <v>19</v>
      </c>
      <c r="E45" s="98" t="s">
        <v>15</v>
      </c>
      <c r="F45" s="4">
        <v>22</v>
      </c>
      <c r="G45" s="4">
        <v>23</v>
      </c>
      <c r="H45" s="4">
        <v>24</v>
      </c>
      <c r="I45" s="4">
        <v>25</v>
      </c>
      <c r="J45" s="4">
        <v>26</v>
      </c>
      <c r="K45" s="4">
        <v>27</v>
      </c>
      <c r="L45" s="4">
        <v>28</v>
      </c>
      <c r="M45" s="4">
        <v>29</v>
      </c>
      <c r="N45" s="4">
        <v>30</v>
      </c>
      <c r="O45" s="4">
        <v>31</v>
      </c>
      <c r="P45" s="4">
        <v>32</v>
      </c>
      <c r="Q45" s="4">
        <v>33</v>
      </c>
      <c r="R45" s="4">
        <v>34</v>
      </c>
      <c r="S45" s="4">
        <v>35</v>
      </c>
      <c r="T45" s="4">
        <v>36</v>
      </c>
      <c r="U45" s="4">
        <v>5</v>
      </c>
      <c r="V45" s="4">
        <v>17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H45" s="34" t="s">
        <v>51</v>
      </c>
    </row>
    <row r="46" spans="4:138" ht="16.5" thickTop="1" thickBot="1" x14ac:dyDescent="0.55000000000000004">
      <c r="D46" s="101"/>
      <c r="E46" s="99"/>
      <c r="F46" s="4">
        <v>21</v>
      </c>
      <c r="G46" s="4">
        <v>20</v>
      </c>
      <c r="H46" s="4">
        <v>19</v>
      </c>
      <c r="I46" s="4">
        <v>18</v>
      </c>
      <c r="J46" s="4">
        <v>16</v>
      </c>
      <c r="K46" s="4">
        <v>15</v>
      </c>
      <c r="L46" s="4">
        <v>14</v>
      </c>
      <c r="M46" s="4">
        <v>13</v>
      </c>
      <c r="N46" s="4">
        <v>12</v>
      </c>
      <c r="O46" s="4">
        <v>11</v>
      </c>
      <c r="P46" s="4">
        <v>10</v>
      </c>
      <c r="Q46" s="4">
        <v>9</v>
      </c>
      <c r="R46" s="4">
        <v>8</v>
      </c>
      <c r="S46" s="4">
        <v>7</v>
      </c>
      <c r="T46" s="4">
        <v>6</v>
      </c>
      <c r="U46" s="4">
        <v>4</v>
      </c>
      <c r="V46" s="4">
        <v>3</v>
      </c>
      <c r="W46" s="4">
        <v>2</v>
      </c>
      <c r="X46" s="4">
        <v>1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H46" s="33" t="s">
        <v>48</v>
      </c>
    </row>
    <row r="47" spans="4:138" ht="16.149999999999999" thickBot="1" x14ac:dyDescent="0.55000000000000004">
      <c r="D47" s="100">
        <v>20</v>
      </c>
      <c r="E47" s="98" t="s">
        <v>15</v>
      </c>
      <c r="F47" s="4">
        <v>21</v>
      </c>
      <c r="G47" s="4">
        <v>22</v>
      </c>
      <c r="H47" s="4">
        <v>23</v>
      </c>
      <c r="I47" s="4">
        <v>24</v>
      </c>
      <c r="J47" s="4">
        <v>25</v>
      </c>
      <c r="K47" s="4">
        <v>26</v>
      </c>
      <c r="L47" s="4">
        <v>27</v>
      </c>
      <c r="M47" s="4">
        <v>28</v>
      </c>
      <c r="N47" s="4">
        <v>29</v>
      </c>
      <c r="O47" s="4">
        <v>30</v>
      </c>
      <c r="P47" s="4">
        <v>31</v>
      </c>
      <c r="Q47" s="4">
        <v>32</v>
      </c>
      <c r="R47" s="4">
        <v>33</v>
      </c>
      <c r="S47" s="4">
        <v>34</v>
      </c>
      <c r="T47" s="4">
        <v>35</v>
      </c>
      <c r="U47" s="4">
        <v>36</v>
      </c>
      <c r="V47" s="4">
        <v>5</v>
      </c>
      <c r="W47" s="4">
        <v>17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H47" s="34" t="s">
        <v>51</v>
      </c>
    </row>
    <row r="48" spans="4:138" ht="16.5" thickTop="1" thickBot="1" x14ac:dyDescent="0.55000000000000004">
      <c r="D48" s="101"/>
      <c r="E48" s="99"/>
      <c r="F48" s="4">
        <v>20</v>
      </c>
      <c r="G48" s="4">
        <v>19</v>
      </c>
      <c r="H48" s="4">
        <v>18</v>
      </c>
      <c r="I48" s="4">
        <v>16</v>
      </c>
      <c r="J48" s="4">
        <v>15</v>
      </c>
      <c r="K48" s="4">
        <v>14</v>
      </c>
      <c r="L48" s="4">
        <v>13</v>
      </c>
      <c r="M48" s="4">
        <v>12</v>
      </c>
      <c r="N48" s="4">
        <v>11</v>
      </c>
      <c r="O48" s="4">
        <v>10</v>
      </c>
      <c r="P48" s="4">
        <v>9</v>
      </c>
      <c r="Q48" s="4">
        <v>8</v>
      </c>
      <c r="R48" s="4">
        <v>7</v>
      </c>
      <c r="S48" s="4">
        <v>6</v>
      </c>
      <c r="T48" s="4">
        <v>4</v>
      </c>
      <c r="U48" s="4">
        <v>3</v>
      </c>
      <c r="V48" s="4">
        <v>2</v>
      </c>
      <c r="W48" s="4">
        <v>1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H48" s="33" t="s">
        <v>48</v>
      </c>
    </row>
    <row r="49" spans="4:138" ht="16.149999999999999" thickBot="1" x14ac:dyDescent="0.55000000000000004">
      <c r="D49" s="100">
        <v>21</v>
      </c>
      <c r="E49" s="98" t="s">
        <v>15</v>
      </c>
      <c r="F49" s="4">
        <v>20</v>
      </c>
      <c r="G49" s="4">
        <v>21</v>
      </c>
      <c r="H49" s="4">
        <v>22</v>
      </c>
      <c r="I49" s="4">
        <v>23</v>
      </c>
      <c r="J49" s="4">
        <v>24</v>
      </c>
      <c r="K49" s="4">
        <v>25</v>
      </c>
      <c r="L49" s="4">
        <v>26</v>
      </c>
      <c r="M49" s="4">
        <v>27</v>
      </c>
      <c r="N49" s="4">
        <v>28</v>
      </c>
      <c r="O49" s="4">
        <v>29</v>
      </c>
      <c r="P49" s="4">
        <v>30</v>
      </c>
      <c r="Q49" s="4">
        <v>31</v>
      </c>
      <c r="R49" s="4">
        <v>32</v>
      </c>
      <c r="S49" s="4">
        <v>33</v>
      </c>
      <c r="T49" s="4">
        <v>34</v>
      </c>
      <c r="U49" s="4">
        <v>35</v>
      </c>
      <c r="V49" s="4">
        <v>36</v>
      </c>
      <c r="W49" s="4">
        <v>5</v>
      </c>
      <c r="X49" s="4">
        <v>17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H49" s="34" t="s">
        <v>51</v>
      </c>
    </row>
    <row r="50" spans="4:138" ht="16.5" thickTop="1" thickBot="1" x14ac:dyDescent="0.55000000000000004">
      <c r="D50" s="101"/>
      <c r="E50" s="99"/>
      <c r="F50" s="4">
        <v>19</v>
      </c>
      <c r="G50" s="4">
        <v>18</v>
      </c>
      <c r="H50" s="4">
        <v>16</v>
      </c>
      <c r="I50" s="4">
        <v>15</v>
      </c>
      <c r="J50" s="4">
        <v>14</v>
      </c>
      <c r="K50" s="4">
        <v>13</v>
      </c>
      <c r="L50" s="4">
        <v>12</v>
      </c>
      <c r="M50" s="4">
        <v>11</v>
      </c>
      <c r="N50" s="4">
        <v>10</v>
      </c>
      <c r="O50" s="4">
        <v>9</v>
      </c>
      <c r="P50" s="4">
        <v>8</v>
      </c>
      <c r="Q50" s="4">
        <v>7</v>
      </c>
      <c r="R50" s="4">
        <v>6</v>
      </c>
      <c r="S50" s="4">
        <v>4</v>
      </c>
      <c r="T50" s="4">
        <v>3</v>
      </c>
      <c r="U50" s="4">
        <v>2</v>
      </c>
      <c r="V50" s="4">
        <v>1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H50" s="33" t="s">
        <v>48</v>
      </c>
    </row>
    <row r="51" spans="4:138" ht="16.149999999999999" thickBot="1" x14ac:dyDescent="0.55000000000000004">
      <c r="D51" s="100">
        <v>22</v>
      </c>
      <c r="E51" s="98" t="s">
        <v>15</v>
      </c>
      <c r="F51" s="4">
        <v>19</v>
      </c>
      <c r="G51" s="4">
        <v>20</v>
      </c>
      <c r="H51" s="4">
        <v>21</v>
      </c>
      <c r="I51" s="4">
        <v>22</v>
      </c>
      <c r="J51" s="4">
        <v>23</v>
      </c>
      <c r="K51" s="4">
        <v>24</v>
      </c>
      <c r="L51" s="4">
        <v>25</v>
      </c>
      <c r="M51" s="4">
        <v>26</v>
      </c>
      <c r="N51" s="4">
        <v>27</v>
      </c>
      <c r="O51" s="4">
        <v>28</v>
      </c>
      <c r="P51" s="4">
        <v>29</v>
      </c>
      <c r="Q51" s="4">
        <v>30</v>
      </c>
      <c r="R51" s="4">
        <v>31</v>
      </c>
      <c r="S51" s="4">
        <v>32</v>
      </c>
      <c r="T51" s="4">
        <v>33</v>
      </c>
      <c r="U51" s="4">
        <v>34</v>
      </c>
      <c r="V51" s="4">
        <v>35</v>
      </c>
      <c r="W51" s="4">
        <v>36</v>
      </c>
      <c r="X51" s="4">
        <v>5</v>
      </c>
      <c r="Y51" s="4">
        <v>17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0</v>
      </c>
      <c r="AS51" s="4">
        <v>0</v>
      </c>
      <c r="AT51" s="4">
        <v>0</v>
      </c>
      <c r="AU51" s="4">
        <v>0</v>
      </c>
      <c r="AV51" s="4">
        <v>0</v>
      </c>
      <c r="AW51" s="4">
        <v>0</v>
      </c>
      <c r="AX51" s="4">
        <v>0</v>
      </c>
      <c r="AY51" s="4">
        <v>0</v>
      </c>
      <c r="AZ51" s="4">
        <v>0</v>
      </c>
      <c r="BA51" s="4">
        <v>0</v>
      </c>
      <c r="BB51" s="4">
        <v>0</v>
      </c>
      <c r="BC51" s="4">
        <v>0</v>
      </c>
      <c r="BD51" s="4">
        <v>0</v>
      </c>
      <c r="BE51" s="4">
        <v>0</v>
      </c>
      <c r="BF51" s="4">
        <v>0</v>
      </c>
      <c r="BG51" s="4">
        <v>0</v>
      </c>
      <c r="BH51" s="4">
        <v>0</v>
      </c>
      <c r="BI51" s="4">
        <v>0</v>
      </c>
      <c r="BJ51" s="4">
        <v>0</v>
      </c>
      <c r="BK51" s="4">
        <v>0</v>
      </c>
      <c r="BL51" s="4">
        <v>0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R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H51" s="34" t="s">
        <v>51</v>
      </c>
    </row>
    <row r="52" spans="4:138" ht="16.5" thickTop="1" thickBot="1" x14ac:dyDescent="0.55000000000000004">
      <c r="D52" s="101"/>
      <c r="E52" s="99"/>
      <c r="F52" s="4">
        <v>18</v>
      </c>
      <c r="G52" s="4">
        <v>16</v>
      </c>
      <c r="H52" s="4">
        <v>15</v>
      </c>
      <c r="I52" s="4">
        <v>14</v>
      </c>
      <c r="J52" s="4">
        <v>13</v>
      </c>
      <c r="K52" s="4">
        <v>12</v>
      </c>
      <c r="L52" s="4">
        <v>11</v>
      </c>
      <c r="M52" s="4">
        <v>10</v>
      </c>
      <c r="N52" s="4">
        <v>9</v>
      </c>
      <c r="O52" s="4">
        <v>8</v>
      </c>
      <c r="P52" s="4">
        <v>7</v>
      </c>
      <c r="Q52" s="4">
        <v>6</v>
      </c>
      <c r="R52" s="4">
        <v>4</v>
      </c>
      <c r="S52" s="4">
        <v>3</v>
      </c>
      <c r="T52" s="4">
        <v>2</v>
      </c>
      <c r="U52" s="4">
        <v>1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0</v>
      </c>
      <c r="BB52" s="4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H52" s="33" t="s">
        <v>48</v>
      </c>
    </row>
    <row r="53" spans="4:138" ht="16.149999999999999" thickBot="1" x14ac:dyDescent="0.55000000000000004">
      <c r="D53" s="100">
        <v>23</v>
      </c>
      <c r="E53" s="98" t="s">
        <v>15</v>
      </c>
      <c r="F53" s="4">
        <v>18</v>
      </c>
      <c r="G53" s="4">
        <v>19</v>
      </c>
      <c r="H53" s="4">
        <v>20</v>
      </c>
      <c r="I53" s="4">
        <v>21</v>
      </c>
      <c r="J53" s="4">
        <v>22</v>
      </c>
      <c r="K53" s="4">
        <v>23</v>
      </c>
      <c r="L53" s="4">
        <v>24</v>
      </c>
      <c r="M53" s="4">
        <v>25</v>
      </c>
      <c r="N53" s="4">
        <v>26</v>
      </c>
      <c r="O53" s="4">
        <v>27</v>
      </c>
      <c r="P53" s="4">
        <v>28</v>
      </c>
      <c r="Q53" s="4">
        <v>29</v>
      </c>
      <c r="R53" s="4">
        <v>30</v>
      </c>
      <c r="S53" s="4">
        <v>31</v>
      </c>
      <c r="T53" s="4">
        <v>32</v>
      </c>
      <c r="U53" s="4">
        <v>33</v>
      </c>
      <c r="V53" s="4">
        <v>34</v>
      </c>
      <c r="W53" s="4">
        <v>35</v>
      </c>
      <c r="X53" s="4">
        <v>36</v>
      </c>
      <c r="Y53" s="4">
        <v>5</v>
      </c>
      <c r="Z53" s="4">
        <v>17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4">
        <v>0</v>
      </c>
      <c r="AZ53" s="4">
        <v>0</v>
      </c>
      <c r="BA53" s="4">
        <v>0</v>
      </c>
      <c r="BB53" s="4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H53" s="34" t="s">
        <v>51</v>
      </c>
    </row>
    <row r="54" spans="4:138" ht="16.5" thickTop="1" thickBot="1" x14ac:dyDescent="0.55000000000000004">
      <c r="D54" s="101"/>
      <c r="E54" s="99"/>
      <c r="F54" s="4">
        <v>16</v>
      </c>
      <c r="G54" s="4">
        <v>15</v>
      </c>
      <c r="H54" s="4">
        <v>14</v>
      </c>
      <c r="I54" s="4">
        <v>13</v>
      </c>
      <c r="J54" s="4">
        <v>12</v>
      </c>
      <c r="K54" s="4">
        <v>11</v>
      </c>
      <c r="L54" s="4">
        <v>10</v>
      </c>
      <c r="M54" s="4">
        <v>9</v>
      </c>
      <c r="N54" s="4">
        <v>8</v>
      </c>
      <c r="O54" s="4">
        <v>7</v>
      </c>
      <c r="P54" s="4">
        <v>6</v>
      </c>
      <c r="Q54" s="4">
        <v>4</v>
      </c>
      <c r="R54" s="4">
        <v>3</v>
      </c>
      <c r="S54" s="4">
        <v>2</v>
      </c>
      <c r="T54" s="4">
        <v>1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H54" s="33" t="s">
        <v>48</v>
      </c>
    </row>
    <row r="55" spans="4:138" ht="16.149999999999999" thickBot="1" x14ac:dyDescent="0.55000000000000004">
      <c r="D55" s="100">
        <v>24</v>
      </c>
      <c r="E55" s="98" t="s">
        <v>19</v>
      </c>
      <c r="F55" s="4">
        <v>17</v>
      </c>
      <c r="G55" s="4">
        <v>18</v>
      </c>
      <c r="H55" s="4">
        <v>19</v>
      </c>
      <c r="I55" s="4">
        <v>20</v>
      </c>
      <c r="J55" s="4">
        <v>21</v>
      </c>
      <c r="K55" s="4">
        <v>22</v>
      </c>
      <c r="L55" s="4">
        <v>23</v>
      </c>
      <c r="M55" s="4">
        <v>24</v>
      </c>
      <c r="N55" s="4">
        <v>25</v>
      </c>
      <c r="O55" s="4">
        <v>26</v>
      </c>
      <c r="P55" s="4">
        <v>27</v>
      </c>
      <c r="Q55" s="4">
        <v>28</v>
      </c>
      <c r="R55" s="4">
        <v>29</v>
      </c>
      <c r="S55" s="4">
        <v>30</v>
      </c>
      <c r="T55" s="4">
        <v>31</v>
      </c>
      <c r="U55" s="4">
        <v>32</v>
      </c>
      <c r="V55" s="4">
        <v>33</v>
      </c>
      <c r="W55" s="4">
        <v>34</v>
      </c>
      <c r="X55" s="4">
        <v>35</v>
      </c>
      <c r="Y55" s="4">
        <v>36</v>
      </c>
      <c r="Z55" s="4">
        <v>5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H55" s="34" t="s">
        <v>51</v>
      </c>
    </row>
    <row r="56" spans="4:138" ht="16.5" thickTop="1" thickBot="1" x14ac:dyDescent="0.55000000000000004">
      <c r="D56" s="101"/>
      <c r="E56" s="99"/>
      <c r="F56" s="4">
        <v>16</v>
      </c>
      <c r="G56" s="4">
        <v>15</v>
      </c>
      <c r="H56" s="4">
        <v>14</v>
      </c>
      <c r="I56" s="4">
        <v>13</v>
      </c>
      <c r="J56" s="4">
        <v>12</v>
      </c>
      <c r="K56" s="4">
        <v>11</v>
      </c>
      <c r="L56" s="4">
        <v>10</v>
      </c>
      <c r="M56" s="4">
        <v>9</v>
      </c>
      <c r="N56" s="4">
        <v>8</v>
      </c>
      <c r="O56" s="4">
        <v>7</v>
      </c>
      <c r="P56" s="4">
        <v>6</v>
      </c>
      <c r="Q56" s="4">
        <v>4</v>
      </c>
      <c r="R56" s="4">
        <v>3</v>
      </c>
      <c r="S56" s="4">
        <v>2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H56" s="33" t="s">
        <v>48</v>
      </c>
    </row>
    <row r="57" spans="4:138" ht="16.149999999999999" thickBot="1" x14ac:dyDescent="0.55000000000000004">
      <c r="D57" s="100">
        <v>25</v>
      </c>
      <c r="E57" s="98" t="s">
        <v>15</v>
      </c>
      <c r="F57" s="4">
        <v>16</v>
      </c>
      <c r="G57" s="4">
        <v>17</v>
      </c>
      <c r="H57" s="4">
        <v>18</v>
      </c>
      <c r="I57" s="4">
        <v>19</v>
      </c>
      <c r="J57" s="4">
        <v>20</v>
      </c>
      <c r="K57" s="4">
        <v>21</v>
      </c>
      <c r="L57" s="4">
        <v>22</v>
      </c>
      <c r="M57" s="4">
        <v>23</v>
      </c>
      <c r="N57" s="4">
        <v>24</v>
      </c>
      <c r="O57" s="4">
        <v>25</v>
      </c>
      <c r="P57" s="4">
        <v>26</v>
      </c>
      <c r="Q57" s="4">
        <v>27</v>
      </c>
      <c r="R57" s="4">
        <v>28</v>
      </c>
      <c r="S57" s="4">
        <v>29</v>
      </c>
      <c r="T57" s="4">
        <v>30</v>
      </c>
      <c r="U57" s="4">
        <v>31</v>
      </c>
      <c r="V57" s="4">
        <v>32</v>
      </c>
      <c r="W57" s="4">
        <v>33</v>
      </c>
      <c r="X57" s="4">
        <v>34</v>
      </c>
      <c r="Y57" s="4">
        <v>35</v>
      </c>
      <c r="Z57" s="4">
        <v>36</v>
      </c>
      <c r="AA57" s="4">
        <v>5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0</v>
      </c>
      <c r="BA57" s="4">
        <v>0</v>
      </c>
      <c r="BB57" s="4">
        <v>0</v>
      </c>
      <c r="BC57" s="4">
        <v>0</v>
      </c>
      <c r="BD57" s="4">
        <v>0</v>
      </c>
      <c r="BE57" s="4">
        <v>0</v>
      </c>
      <c r="BF57" s="4">
        <v>0</v>
      </c>
      <c r="BG57" s="4">
        <v>0</v>
      </c>
      <c r="BH57" s="4">
        <v>0</v>
      </c>
      <c r="BI57" s="4">
        <v>0</v>
      </c>
      <c r="BJ57" s="4">
        <v>0</v>
      </c>
      <c r="BK57" s="4">
        <v>0</v>
      </c>
      <c r="BL57" s="4">
        <v>0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  <c r="BX57" s="4">
        <v>0</v>
      </c>
      <c r="BY57" s="4">
        <v>0</v>
      </c>
      <c r="BZ57" s="4">
        <v>0</v>
      </c>
      <c r="CA57" s="4">
        <v>0</v>
      </c>
      <c r="CB57" s="4">
        <v>0</v>
      </c>
      <c r="CC57" s="4">
        <v>0</v>
      </c>
      <c r="CD57" s="4">
        <v>0</v>
      </c>
      <c r="CE57" s="4">
        <v>0</v>
      </c>
      <c r="CF57" s="4">
        <v>0</v>
      </c>
      <c r="CG57" s="4">
        <v>0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0</v>
      </c>
      <c r="CV57" s="4">
        <v>0</v>
      </c>
      <c r="CW57" s="4">
        <v>0</v>
      </c>
      <c r="CX57" s="4">
        <v>0</v>
      </c>
      <c r="CY57" s="4">
        <v>0</v>
      </c>
      <c r="CZ57" s="4">
        <v>0</v>
      </c>
      <c r="DA57" s="4">
        <v>0</v>
      </c>
      <c r="DB57" s="4">
        <v>0</v>
      </c>
      <c r="DC57" s="4">
        <v>0</v>
      </c>
      <c r="DD57" s="4">
        <v>0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0</v>
      </c>
      <c r="DZ57" s="4">
        <v>0</v>
      </c>
      <c r="EA57" s="4">
        <v>0</v>
      </c>
      <c r="EB57" s="4">
        <v>0</v>
      </c>
      <c r="EC57" s="4">
        <v>0</v>
      </c>
      <c r="EH57" s="34" t="s">
        <v>51</v>
      </c>
    </row>
    <row r="58" spans="4:138" ht="16.5" thickTop="1" thickBot="1" x14ac:dyDescent="0.55000000000000004">
      <c r="D58" s="101"/>
      <c r="E58" s="99"/>
      <c r="F58" s="4">
        <v>15</v>
      </c>
      <c r="G58" s="4">
        <v>14</v>
      </c>
      <c r="H58" s="4">
        <v>13</v>
      </c>
      <c r="I58" s="4">
        <v>12</v>
      </c>
      <c r="J58" s="4">
        <v>11</v>
      </c>
      <c r="K58" s="4">
        <v>10</v>
      </c>
      <c r="L58" s="4">
        <v>9</v>
      </c>
      <c r="M58" s="4">
        <v>8</v>
      </c>
      <c r="N58" s="4">
        <v>7</v>
      </c>
      <c r="O58" s="4">
        <v>6</v>
      </c>
      <c r="P58" s="4">
        <v>4</v>
      </c>
      <c r="Q58" s="4">
        <v>3</v>
      </c>
      <c r="R58" s="4">
        <v>2</v>
      </c>
      <c r="S58" s="4">
        <v>1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0</v>
      </c>
      <c r="AZ58" s="4">
        <v>0</v>
      </c>
      <c r="BA58" s="4">
        <v>0</v>
      </c>
      <c r="BB58" s="4">
        <v>0</v>
      </c>
      <c r="BC58" s="4">
        <v>0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  <c r="BJ58" s="4">
        <v>0</v>
      </c>
      <c r="BK58" s="4">
        <v>0</v>
      </c>
      <c r="BL58" s="4">
        <v>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4">
        <v>0</v>
      </c>
      <c r="BW58" s="4">
        <v>0</v>
      </c>
      <c r="BX58" s="4">
        <v>0</v>
      </c>
      <c r="BY58" s="4">
        <v>0</v>
      </c>
      <c r="BZ58" s="4">
        <v>0</v>
      </c>
      <c r="CA58" s="4">
        <v>0</v>
      </c>
      <c r="CB58" s="4">
        <v>0</v>
      </c>
      <c r="CC58" s="4">
        <v>0</v>
      </c>
      <c r="CD58" s="4">
        <v>0</v>
      </c>
      <c r="CE58" s="4">
        <v>0</v>
      </c>
      <c r="CF58" s="4">
        <v>0</v>
      </c>
      <c r="CG58" s="4">
        <v>0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4">
        <v>0</v>
      </c>
      <c r="CW58" s="4">
        <v>0</v>
      </c>
      <c r="CX58" s="4">
        <v>0</v>
      </c>
      <c r="CY58" s="4">
        <v>0</v>
      </c>
      <c r="CZ58" s="4">
        <v>0</v>
      </c>
      <c r="DA58" s="4">
        <v>0</v>
      </c>
      <c r="DB58" s="4">
        <v>0</v>
      </c>
      <c r="DC58" s="4">
        <v>0</v>
      </c>
      <c r="DD58" s="4">
        <v>0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  <c r="DZ58" s="4">
        <v>0</v>
      </c>
      <c r="EA58" s="4">
        <v>0</v>
      </c>
      <c r="EB58" s="4">
        <v>0</v>
      </c>
      <c r="EC58" s="4">
        <v>0</v>
      </c>
      <c r="EH58" s="33" t="s">
        <v>48</v>
      </c>
    </row>
    <row r="59" spans="4:138" ht="16.149999999999999" thickBot="1" x14ac:dyDescent="0.55000000000000004">
      <c r="D59" s="100">
        <v>26</v>
      </c>
      <c r="E59" s="98" t="s">
        <v>15</v>
      </c>
      <c r="F59" s="4">
        <v>15</v>
      </c>
      <c r="G59" s="4">
        <v>16</v>
      </c>
      <c r="H59" s="4">
        <v>17</v>
      </c>
      <c r="I59" s="4">
        <v>18</v>
      </c>
      <c r="J59" s="4">
        <v>19</v>
      </c>
      <c r="K59" s="4">
        <v>20</v>
      </c>
      <c r="L59" s="4">
        <v>21</v>
      </c>
      <c r="M59" s="4">
        <v>22</v>
      </c>
      <c r="N59" s="4">
        <v>23</v>
      </c>
      <c r="O59" s="4">
        <v>24</v>
      </c>
      <c r="P59" s="4">
        <v>25</v>
      </c>
      <c r="Q59" s="4">
        <v>26</v>
      </c>
      <c r="R59" s="4">
        <v>27</v>
      </c>
      <c r="S59" s="4">
        <v>28</v>
      </c>
      <c r="T59" s="4">
        <v>29</v>
      </c>
      <c r="U59" s="4">
        <v>30</v>
      </c>
      <c r="V59" s="4">
        <v>31</v>
      </c>
      <c r="W59" s="4">
        <v>32</v>
      </c>
      <c r="X59" s="4">
        <v>33</v>
      </c>
      <c r="Y59" s="4">
        <v>34</v>
      </c>
      <c r="Z59" s="4">
        <v>35</v>
      </c>
      <c r="AA59" s="4">
        <v>36</v>
      </c>
      <c r="AB59" s="4">
        <v>5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0</v>
      </c>
      <c r="AT59" s="4">
        <v>0</v>
      </c>
      <c r="AU59" s="4">
        <v>0</v>
      </c>
      <c r="AV59" s="4">
        <v>0</v>
      </c>
      <c r="AW59" s="4">
        <v>0</v>
      </c>
      <c r="AX59" s="4">
        <v>0</v>
      </c>
      <c r="AY59" s="4">
        <v>0</v>
      </c>
      <c r="AZ59" s="4">
        <v>0</v>
      </c>
      <c r="BA59" s="4">
        <v>0</v>
      </c>
      <c r="BB59" s="4">
        <v>0</v>
      </c>
      <c r="BC59" s="4">
        <v>0</v>
      </c>
      <c r="BD59" s="4">
        <v>0</v>
      </c>
      <c r="BE59" s="4">
        <v>0</v>
      </c>
      <c r="BF59" s="4">
        <v>0</v>
      </c>
      <c r="BG59" s="4">
        <v>0</v>
      </c>
      <c r="BH59" s="4">
        <v>0</v>
      </c>
      <c r="BI59" s="4">
        <v>0</v>
      </c>
      <c r="BJ59" s="4">
        <v>0</v>
      </c>
      <c r="BK59" s="4">
        <v>0</v>
      </c>
      <c r="BL59" s="4">
        <v>0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R59" s="4">
        <v>0</v>
      </c>
      <c r="BS59" s="4">
        <v>0</v>
      </c>
      <c r="BT59" s="4">
        <v>0</v>
      </c>
      <c r="BU59" s="4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  <c r="CF59" s="4">
        <v>0</v>
      </c>
      <c r="CG59" s="4">
        <v>0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0</v>
      </c>
      <c r="CV59" s="4">
        <v>0</v>
      </c>
      <c r="CW59" s="4">
        <v>0</v>
      </c>
      <c r="CX59" s="4">
        <v>0</v>
      </c>
      <c r="CY59" s="4">
        <v>0</v>
      </c>
      <c r="CZ59" s="4">
        <v>0</v>
      </c>
      <c r="DA59" s="4">
        <v>0</v>
      </c>
      <c r="DB59" s="4">
        <v>0</v>
      </c>
      <c r="DC59" s="4">
        <v>0</v>
      </c>
      <c r="DD59" s="4">
        <v>0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4">
        <v>0</v>
      </c>
      <c r="DZ59" s="4">
        <v>0</v>
      </c>
      <c r="EA59" s="4">
        <v>0</v>
      </c>
      <c r="EB59" s="4">
        <v>0</v>
      </c>
      <c r="EC59" s="4">
        <v>0</v>
      </c>
      <c r="EH59" s="34" t="s">
        <v>51</v>
      </c>
    </row>
    <row r="60" spans="4:138" ht="16.5" thickTop="1" thickBot="1" x14ac:dyDescent="0.55000000000000004">
      <c r="D60" s="101"/>
      <c r="E60" s="99"/>
      <c r="F60" s="4">
        <v>14</v>
      </c>
      <c r="G60" s="4">
        <v>13</v>
      </c>
      <c r="H60" s="4">
        <v>12</v>
      </c>
      <c r="I60" s="4">
        <v>11</v>
      </c>
      <c r="J60" s="4">
        <v>10</v>
      </c>
      <c r="K60" s="4">
        <v>9</v>
      </c>
      <c r="L60" s="4">
        <v>8</v>
      </c>
      <c r="M60" s="4">
        <v>7</v>
      </c>
      <c r="N60" s="4">
        <v>6</v>
      </c>
      <c r="O60" s="4">
        <v>4</v>
      </c>
      <c r="P60" s="4">
        <v>3</v>
      </c>
      <c r="Q60" s="4">
        <v>2</v>
      </c>
      <c r="R60" s="4">
        <v>1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4">
        <v>0</v>
      </c>
      <c r="AV60" s="4">
        <v>0</v>
      </c>
      <c r="AW60" s="4">
        <v>0</v>
      </c>
      <c r="AX60" s="4">
        <v>0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  <c r="BG60" s="4">
        <v>0</v>
      </c>
      <c r="BH60" s="4">
        <v>0</v>
      </c>
      <c r="BI60" s="4">
        <v>0</v>
      </c>
      <c r="BJ60" s="4">
        <v>0</v>
      </c>
      <c r="BK60" s="4">
        <v>0</v>
      </c>
      <c r="BL60" s="4">
        <v>0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R60" s="4">
        <v>0</v>
      </c>
      <c r="BS60" s="4">
        <v>0</v>
      </c>
      <c r="BT60" s="4">
        <v>0</v>
      </c>
      <c r="BU60" s="4">
        <v>0</v>
      </c>
      <c r="BV60" s="4">
        <v>0</v>
      </c>
      <c r="BW60" s="4">
        <v>0</v>
      </c>
      <c r="BX60" s="4">
        <v>0</v>
      </c>
      <c r="BY60" s="4">
        <v>0</v>
      </c>
      <c r="BZ60" s="4">
        <v>0</v>
      </c>
      <c r="CA60" s="4">
        <v>0</v>
      </c>
      <c r="CB60" s="4">
        <v>0</v>
      </c>
      <c r="CC60" s="4">
        <v>0</v>
      </c>
      <c r="CD60" s="4">
        <v>0</v>
      </c>
      <c r="CE60" s="4">
        <v>0</v>
      </c>
      <c r="CF60" s="4">
        <v>0</v>
      </c>
      <c r="CG60" s="4">
        <v>0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4">
        <v>0</v>
      </c>
      <c r="CW60" s="4">
        <v>0</v>
      </c>
      <c r="CX60" s="4">
        <v>0</v>
      </c>
      <c r="CY60" s="4">
        <v>0</v>
      </c>
      <c r="CZ60" s="4">
        <v>0</v>
      </c>
      <c r="DA60" s="4">
        <v>0</v>
      </c>
      <c r="DB60" s="4">
        <v>0</v>
      </c>
      <c r="DC60" s="4">
        <v>0</v>
      </c>
      <c r="DD60" s="4">
        <v>0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  <c r="DZ60" s="4">
        <v>0</v>
      </c>
      <c r="EA60" s="4">
        <v>0</v>
      </c>
      <c r="EB60" s="4">
        <v>0</v>
      </c>
      <c r="EC60" s="4">
        <v>0</v>
      </c>
      <c r="EH60" s="33" t="s">
        <v>48</v>
      </c>
    </row>
    <row r="61" spans="4:138" ht="16.149999999999999" thickBot="1" x14ac:dyDescent="0.55000000000000004">
      <c r="D61" s="100">
        <v>27</v>
      </c>
      <c r="E61" s="98" t="s">
        <v>15</v>
      </c>
      <c r="F61" s="4">
        <v>14</v>
      </c>
      <c r="G61" s="4">
        <v>15</v>
      </c>
      <c r="H61" s="4">
        <v>16</v>
      </c>
      <c r="I61" s="4">
        <v>17</v>
      </c>
      <c r="J61" s="4">
        <v>18</v>
      </c>
      <c r="K61" s="4">
        <v>19</v>
      </c>
      <c r="L61" s="4">
        <v>20</v>
      </c>
      <c r="M61" s="4">
        <v>21</v>
      </c>
      <c r="N61" s="4">
        <v>22</v>
      </c>
      <c r="O61" s="4">
        <v>23</v>
      </c>
      <c r="P61" s="4">
        <v>24</v>
      </c>
      <c r="Q61" s="4">
        <v>25</v>
      </c>
      <c r="R61" s="4">
        <v>26</v>
      </c>
      <c r="S61" s="4">
        <v>27</v>
      </c>
      <c r="T61" s="4">
        <v>28</v>
      </c>
      <c r="U61" s="4">
        <v>29</v>
      </c>
      <c r="V61" s="4">
        <v>30</v>
      </c>
      <c r="W61" s="4">
        <v>31</v>
      </c>
      <c r="X61" s="4">
        <v>32</v>
      </c>
      <c r="Y61" s="4">
        <v>33</v>
      </c>
      <c r="Z61" s="4">
        <v>34</v>
      </c>
      <c r="AA61" s="4">
        <v>35</v>
      </c>
      <c r="AB61" s="4">
        <v>36</v>
      </c>
      <c r="AC61" s="4">
        <v>5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4">
        <v>0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4">
        <v>0</v>
      </c>
      <c r="BY61" s="4">
        <v>0</v>
      </c>
      <c r="BZ61" s="4">
        <v>0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  <c r="CF61" s="4">
        <v>0</v>
      </c>
      <c r="CG61" s="4">
        <v>0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4">
        <v>0</v>
      </c>
      <c r="CW61" s="4">
        <v>0</v>
      </c>
      <c r="CX61" s="4">
        <v>0</v>
      </c>
      <c r="CY61" s="4">
        <v>0</v>
      </c>
      <c r="CZ61" s="4">
        <v>0</v>
      </c>
      <c r="DA61" s="4">
        <v>0</v>
      </c>
      <c r="DB61" s="4">
        <v>0</v>
      </c>
      <c r="DC61" s="4">
        <v>0</v>
      </c>
      <c r="DD61" s="4">
        <v>0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H61" s="34" t="s">
        <v>51</v>
      </c>
    </row>
    <row r="62" spans="4:138" ht="16.5" thickTop="1" thickBot="1" x14ac:dyDescent="0.55000000000000004">
      <c r="D62" s="101"/>
      <c r="E62" s="99"/>
      <c r="F62" s="4">
        <v>13</v>
      </c>
      <c r="G62" s="4">
        <v>12</v>
      </c>
      <c r="H62" s="4">
        <v>11</v>
      </c>
      <c r="I62" s="4">
        <v>10</v>
      </c>
      <c r="J62" s="4">
        <v>9</v>
      </c>
      <c r="K62" s="4">
        <v>8</v>
      </c>
      <c r="L62" s="4">
        <v>7</v>
      </c>
      <c r="M62" s="4">
        <v>6</v>
      </c>
      <c r="N62" s="4">
        <v>4</v>
      </c>
      <c r="O62" s="4">
        <v>3</v>
      </c>
      <c r="P62" s="4">
        <v>2</v>
      </c>
      <c r="Q62" s="4">
        <v>1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  <c r="BM62" s="4">
        <v>0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H62" s="33" t="s">
        <v>48</v>
      </c>
    </row>
    <row r="63" spans="4:138" ht="16.149999999999999" thickBot="1" x14ac:dyDescent="0.55000000000000004">
      <c r="D63" s="100">
        <v>28</v>
      </c>
      <c r="E63" s="98" t="s">
        <v>15</v>
      </c>
      <c r="F63" s="4">
        <v>13</v>
      </c>
      <c r="G63" s="4">
        <v>14</v>
      </c>
      <c r="H63" s="4">
        <v>15</v>
      </c>
      <c r="I63" s="4">
        <v>16</v>
      </c>
      <c r="J63" s="4">
        <v>17</v>
      </c>
      <c r="K63" s="4">
        <v>18</v>
      </c>
      <c r="L63" s="4">
        <v>19</v>
      </c>
      <c r="M63" s="4">
        <v>20</v>
      </c>
      <c r="N63" s="4">
        <v>21</v>
      </c>
      <c r="O63" s="4">
        <v>22</v>
      </c>
      <c r="P63" s="4">
        <v>23</v>
      </c>
      <c r="Q63" s="4">
        <v>24</v>
      </c>
      <c r="R63" s="4">
        <v>25</v>
      </c>
      <c r="S63" s="4">
        <v>26</v>
      </c>
      <c r="T63" s="4">
        <v>27</v>
      </c>
      <c r="U63" s="4">
        <v>28</v>
      </c>
      <c r="V63" s="4">
        <v>29</v>
      </c>
      <c r="W63" s="4">
        <v>30</v>
      </c>
      <c r="X63" s="4">
        <v>31</v>
      </c>
      <c r="Y63" s="4">
        <v>32</v>
      </c>
      <c r="Z63" s="4">
        <v>33</v>
      </c>
      <c r="AA63" s="4">
        <v>34</v>
      </c>
      <c r="AB63" s="4">
        <v>35</v>
      </c>
      <c r="AC63" s="4">
        <v>36</v>
      </c>
      <c r="AD63" s="4">
        <v>5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  <c r="BJ63" s="4">
        <v>0</v>
      </c>
      <c r="BK63" s="4">
        <v>0</v>
      </c>
      <c r="BL63" s="4">
        <v>0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>
        <v>0</v>
      </c>
      <c r="CG63" s="4">
        <v>0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H63" s="34" t="s">
        <v>51</v>
      </c>
    </row>
    <row r="64" spans="4:138" ht="16.5" thickTop="1" thickBot="1" x14ac:dyDescent="0.55000000000000004">
      <c r="D64" s="101"/>
      <c r="E64" s="99"/>
      <c r="F64" s="4">
        <v>12</v>
      </c>
      <c r="G64" s="4">
        <v>11</v>
      </c>
      <c r="H64" s="4">
        <v>10</v>
      </c>
      <c r="I64" s="4">
        <v>9</v>
      </c>
      <c r="J64" s="4">
        <v>8</v>
      </c>
      <c r="K64" s="4">
        <v>7</v>
      </c>
      <c r="L64" s="4">
        <v>6</v>
      </c>
      <c r="M64" s="4">
        <v>4</v>
      </c>
      <c r="N64" s="4">
        <v>3</v>
      </c>
      <c r="O64" s="4">
        <v>2</v>
      </c>
      <c r="P64" s="4">
        <v>1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  <c r="BJ64" s="4">
        <v>0</v>
      </c>
      <c r="BK64" s="4">
        <v>0</v>
      </c>
      <c r="BL64" s="4">
        <v>0</v>
      </c>
      <c r="BM64" s="4">
        <v>0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H64" s="33" t="s">
        <v>48</v>
      </c>
    </row>
    <row r="65" spans="4:138" ht="16.149999999999999" thickBot="1" x14ac:dyDescent="0.55000000000000004">
      <c r="D65" s="100">
        <v>29</v>
      </c>
      <c r="E65" s="98" t="s">
        <v>15</v>
      </c>
      <c r="F65" s="4">
        <v>12</v>
      </c>
      <c r="G65" s="4">
        <v>13</v>
      </c>
      <c r="H65" s="4">
        <v>14</v>
      </c>
      <c r="I65" s="4">
        <v>15</v>
      </c>
      <c r="J65" s="4">
        <v>16</v>
      </c>
      <c r="K65" s="4">
        <v>17</v>
      </c>
      <c r="L65" s="4">
        <v>18</v>
      </c>
      <c r="M65" s="4">
        <v>19</v>
      </c>
      <c r="N65" s="4">
        <v>20</v>
      </c>
      <c r="O65" s="4">
        <v>21</v>
      </c>
      <c r="P65" s="4">
        <v>22</v>
      </c>
      <c r="Q65" s="4">
        <v>23</v>
      </c>
      <c r="R65" s="4">
        <v>24</v>
      </c>
      <c r="S65" s="4">
        <v>25</v>
      </c>
      <c r="T65" s="4">
        <v>26</v>
      </c>
      <c r="U65" s="4">
        <v>27</v>
      </c>
      <c r="V65" s="4">
        <v>28</v>
      </c>
      <c r="W65" s="4">
        <v>29</v>
      </c>
      <c r="X65" s="4">
        <v>30</v>
      </c>
      <c r="Y65" s="4">
        <v>31</v>
      </c>
      <c r="Z65" s="4">
        <v>32</v>
      </c>
      <c r="AA65" s="4">
        <v>33</v>
      </c>
      <c r="AB65" s="4">
        <v>34</v>
      </c>
      <c r="AC65" s="4">
        <v>35</v>
      </c>
      <c r="AD65" s="4">
        <v>36</v>
      </c>
      <c r="AE65" s="4">
        <v>5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4">
        <v>0</v>
      </c>
      <c r="AV65" s="4">
        <v>0</v>
      </c>
      <c r="AW65" s="4">
        <v>0</v>
      </c>
      <c r="AX65" s="4">
        <v>0</v>
      </c>
      <c r="AY65" s="4">
        <v>0</v>
      </c>
      <c r="AZ65" s="4">
        <v>0</v>
      </c>
      <c r="BA65" s="4">
        <v>0</v>
      </c>
      <c r="BB65" s="4">
        <v>0</v>
      </c>
      <c r="BC65" s="4">
        <v>0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0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H65" s="34" t="s">
        <v>51</v>
      </c>
    </row>
    <row r="66" spans="4:138" ht="16.5" thickTop="1" thickBot="1" x14ac:dyDescent="0.55000000000000004">
      <c r="D66" s="101"/>
      <c r="E66" s="99"/>
      <c r="F66" s="4">
        <v>11</v>
      </c>
      <c r="G66" s="4">
        <v>10</v>
      </c>
      <c r="H66" s="4">
        <v>9</v>
      </c>
      <c r="I66" s="4">
        <v>8</v>
      </c>
      <c r="J66" s="4">
        <v>7</v>
      </c>
      <c r="K66" s="4">
        <v>6</v>
      </c>
      <c r="L66" s="4">
        <v>4</v>
      </c>
      <c r="M66" s="4">
        <v>3</v>
      </c>
      <c r="N66" s="4">
        <v>2</v>
      </c>
      <c r="O66" s="4">
        <v>1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R66" s="4">
        <v>0</v>
      </c>
      <c r="BS66" s="4">
        <v>0</v>
      </c>
      <c r="BT66" s="4">
        <v>0</v>
      </c>
      <c r="BU66" s="4">
        <v>0</v>
      </c>
      <c r="BV66" s="4">
        <v>0</v>
      </c>
      <c r="BW66" s="4">
        <v>0</v>
      </c>
      <c r="BX66" s="4">
        <v>0</v>
      </c>
      <c r="BY66" s="4">
        <v>0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>
        <v>0</v>
      </c>
      <c r="CG66" s="4">
        <v>0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0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H66" s="33" t="s">
        <v>48</v>
      </c>
    </row>
    <row r="67" spans="4:138" ht="16.149999999999999" thickBot="1" x14ac:dyDescent="0.55000000000000004">
      <c r="D67" s="100">
        <v>30</v>
      </c>
      <c r="E67" s="98" t="s">
        <v>15</v>
      </c>
      <c r="F67" s="4">
        <v>11</v>
      </c>
      <c r="G67" s="4">
        <v>12</v>
      </c>
      <c r="H67" s="4">
        <v>13</v>
      </c>
      <c r="I67" s="4">
        <v>14</v>
      </c>
      <c r="J67" s="4">
        <v>15</v>
      </c>
      <c r="K67" s="4">
        <v>16</v>
      </c>
      <c r="L67" s="4">
        <v>17</v>
      </c>
      <c r="M67" s="4">
        <v>18</v>
      </c>
      <c r="N67" s="4">
        <v>19</v>
      </c>
      <c r="O67" s="4">
        <v>20</v>
      </c>
      <c r="P67" s="4">
        <v>21</v>
      </c>
      <c r="Q67" s="4">
        <v>22</v>
      </c>
      <c r="R67" s="4">
        <v>23</v>
      </c>
      <c r="S67" s="4">
        <v>24</v>
      </c>
      <c r="T67" s="4">
        <v>25</v>
      </c>
      <c r="U67" s="4">
        <v>26</v>
      </c>
      <c r="V67" s="4">
        <v>27</v>
      </c>
      <c r="W67" s="4">
        <v>28</v>
      </c>
      <c r="X67" s="4">
        <v>29</v>
      </c>
      <c r="Y67" s="4">
        <v>30</v>
      </c>
      <c r="Z67" s="4">
        <v>31</v>
      </c>
      <c r="AA67" s="4">
        <v>32</v>
      </c>
      <c r="AB67" s="4">
        <v>33</v>
      </c>
      <c r="AC67" s="4">
        <v>34</v>
      </c>
      <c r="AD67" s="4">
        <v>35</v>
      </c>
      <c r="AE67" s="4">
        <v>36</v>
      </c>
      <c r="AF67" s="4">
        <v>5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0</v>
      </c>
      <c r="AZ67" s="4">
        <v>0</v>
      </c>
      <c r="BA67" s="4">
        <v>0</v>
      </c>
      <c r="BB67" s="4">
        <v>0</v>
      </c>
      <c r="BC67" s="4">
        <v>0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H67" s="34" t="s">
        <v>51</v>
      </c>
    </row>
    <row r="68" spans="4:138" ht="16.5" thickTop="1" thickBot="1" x14ac:dyDescent="0.55000000000000004">
      <c r="D68" s="101"/>
      <c r="E68" s="99"/>
      <c r="F68" s="4">
        <v>10</v>
      </c>
      <c r="G68" s="4">
        <v>9</v>
      </c>
      <c r="H68" s="4">
        <v>8</v>
      </c>
      <c r="I68" s="4">
        <v>7</v>
      </c>
      <c r="J68" s="4">
        <v>6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4">
        <v>0</v>
      </c>
      <c r="AW68" s="4">
        <v>0</v>
      </c>
      <c r="AX68" s="4">
        <v>0</v>
      </c>
      <c r="AY68" s="4">
        <v>0</v>
      </c>
      <c r="AZ68" s="4">
        <v>0</v>
      </c>
      <c r="BA68" s="4">
        <v>0</v>
      </c>
      <c r="BB68" s="4">
        <v>0</v>
      </c>
      <c r="BC68" s="4">
        <v>0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</v>
      </c>
      <c r="BK68" s="4">
        <v>0</v>
      </c>
      <c r="BL68" s="4">
        <v>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R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4">
        <v>0</v>
      </c>
      <c r="BY68" s="4">
        <v>0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>
        <v>0</v>
      </c>
      <c r="CG68" s="4">
        <v>0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H68" s="33" t="s">
        <v>48</v>
      </c>
    </row>
    <row r="69" spans="4:138" ht="16.149999999999999" thickBot="1" x14ac:dyDescent="0.55000000000000004">
      <c r="D69" s="100">
        <v>31</v>
      </c>
      <c r="E69" s="98" t="s">
        <v>15</v>
      </c>
      <c r="F69" s="4">
        <v>10</v>
      </c>
      <c r="G69" s="4">
        <v>11</v>
      </c>
      <c r="H69" s="4">
        <v>12</v>
      </c>
      <c r="I69" s="4">
        <v>13</v>
      </c>
      <c r="J69" s="4">
        <v>14</v>
      </c>
      <c r="K69" s="4">
        <v>15</v>
      </c>
      <c r="L69" s="4">
        <v>16</v>
      </c>
      <c r="M69" s="4">
        <v>17</v>
      </c>
      <c r="N69" s="4">
        <v>18</v>
      </c>
      <c r="O69" s="4">
        <v>19</v>
      </c>
      <c r="P69" s="4">
        <v>20</v>
      </c>
      <c r="Q69" s="4">
        <v>21</v>
      </c>
      <c r="R69" s="4">
        <v>22</v>
      </c>
      <c r="S69" s="4">
        <v>23</v>
      </c>
      <c r="T69" s="4">
        <v>24</v>
      </c>
      <c r="U69" s="4">
        <v>25</v>
      </c>
      <c r="V69" s="4">
        <v>26</v>
      </c>
      <c r="W69" s="4">
        <v>27</v>
      </c>
      <c r="X69" s="4">
        <v>28</v>
      </c>
      <c r="Y69" s="4">
        <v>29</v>
      </c>
      <c r="Z69" s="4">
        <v>30</v>
      </c>
      <c r="AA69" s="4">
        <v>31</v>
      </c>
      <c r="AB69" s="4">
        <v>32</v>
      </c>
      <c r="AC69" s="4">
        <v>33</v>
      </c>
      <c r="AD69" s="4">
        <v>34</v>
      </c>
      <c r="AE69" s="4">
        <v>35</v>
      </c>
      <c r="AF69" s="4">
        <v>36</v>
      </c>
      <c r="AG69" s="4">
        <v>5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0</v>
      </c>
      <c r="AX69" s="4">
        <v>0</v>
      </c>
      <c r="AY69" s="4">
        <v>0</v>
      </c>
      <c r="AZ69" s="4">
        <v>0</v>
      </c>
      <c r="BA69" s="4">
        <v>0</v>
      </c>
      <c r="BB69" s="4">
        <v>0</v>
      </c>
      <c r="BC69" s="4">
        <v>0</v>
      </c>
      <c r="BD69" s="4">
        <v>0</v>
      </c>
      <c r="BE69" s="4">
        <v>0</v>
      </c>
      <c r="BF69" s="4">
        <v>0</v>
      </c>
      <c r="BG69" s="4">
        <v>0</v>
      </c>
      <c r="BH69" s="4">
        <v>0</v>
      </c>
      <c r="BI69" s="4">
        <v>0</v>
      </c>
      <c r="BJ69" s="4">
        <v>0</v>
      </c>
      <c r="BK69" s="4">
        <v>0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R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  <c r="CF69" s="4">
        <v>0</v>
      </c>
      <c r="CG69" s="4">
        <v>0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H69" s="34" t="s">
        <v>51</v>
      </c>
    </row>
    <row r="70" spans="4:138" ht="16.5" thickTop="1" thickBot="1" x14ac:dyDescent="0.55000000000000004">
      <c r="D70" s="101"/>
      <c r="E70" s="99"/>
      <c r="F70" s="4">
        <v>9</v>
      </c>
      <c r="G70" s="4">
        <v>8</v>
      </c>
      <c r="H70" s="4">
        <v>7</v>
      </c>
      <c r="I70" s="4">
        <v>6</v>
      </c>
      <c r="J70" s="4">
        <v>4</v>
      </c>
      <c r="K70" s="4">
        <v>3</v>
      </c>
      <c r="L70" s="4">
        <v>2</v>
      </c>
      <c r="M70" s="4">
        <v>1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0</v>
      </c>
      <c r="AV70" s="4">
        <v>0</v>
      </c>
      <c r="AW70" s="4">
        <v>0</v>
      </c>
      <c r="AX70" s="4">
        <v>0</v>
      </c>
      <c r="AY70" s="4">
        <v>0</v>
      </c>
      <c r="AZ70" s="4">
        <v>0</v>
      </c>
      <c r="BA70" s="4">
        <v>0</v>
      </c>
      <c r="BB70" s="4">
        <v>0</v>
      </c>
      <c r="BC70" s="4">
        <v>0</v>
      </c>
      <c r="BD70" s="4">
        <v>0</v>
      </c>
      <c r="BE70" s="4">
        <v>0</v>
      </c>
      <c r="BF70" s="4">
        <v>0</v>
      </c>
      <c r="BG70" s="4">
        <v>0</v>
      </c>
      <c r="BH70" s="4">
        <v>0</v>
      </c>
      <c r="BI70" s="4">
        <v>0</v>
      </c>
      <c r="BJ70" s="4">
        <v>0</v>
      </c>
      <c r="BK70" s="4">
        <v>0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R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4">
        <v>0</v>
      </c>
      <c r="BY70" s="4">
        <v>0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>
        <v>0</v>
      </c>
      <c r="CG70" s="4">
        <v>0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H70" s="33" t="s">
        <v>48</v>
      </c>
    </row>
    <row r="71" spans="4:138" ht="16.149999999999999" thickBot="1" x14ac:dyDescent="0.55000000000000004">
      <c r="D71" s="100">
        <v>32</v>
      </c>
      <c r="E71" s="98" t="s">
        <v>15</v>
      </c>
      <c r="F71" s="4">
        <v>9</v>
      </c>
      <c r="G71" s="4">
        <v>10</v>
      </c>
      <c r="H71" s="4">
        <v>11</v>
      </c>
      <c r="I71" s="4">
        <v>12</v>
      </c>
      <c r="J71" s="4">
        <v>13</v>
      </c>
      <c r="K71" s="4">
        <v>14</v>
      </c>
      <c r="L71" s="4">
        <v>15</v>
      </c>
      <c r="M71" s="4">
        <v>16</v>
      </c>
      <c r="N71" s="4">
        <v>17</v>
      </c>
      <c r="O71" s="4">
        <v>18</v>
      </c>
      <c r="P71" s="4">
        <v>19</v>
      </c>
      <c r="Q71" s="4">
        <v>20</v>
      </c>
      <c r="R71" s="4">
        <v>21</v>
      </c>
      <c r="S71" s="4">
        <v>22</v>
      </c>
      <c r="T71" s="4">
        <v>23</v>
      </c>
      <c r="U71" s="4">
        <v>24</v>
      </c>
      <c r="V71" s="4">
        <v>25</v>
      </c>
      <c r="W71" s="4">
        <v>26</v>
      </c>
      <c r="X71" s="4">
        <v>27</v>
      </c>
      <c r="Y71" s="4">
        <v>28</v>
      </c>
      <c r="Z71" s="4">
        <v>29</v>
      </c>
      <c r="AA71" s="4">
        <v>30</v>
      </c>
      <c r="AB71" s="4">
        <v>31</v>
      </c>
      <c r="AC71" s="4">
        <v>32</v>
      </c>
      <c r="AD71" s="4">
        <v>33</v>
      </c>
      <c r="AE71" s="4">
        <v>34</v>
      </c>
      <c r="AF71" s="4">
        <v>35</v>
      </c>
      <c r="AG71" s="4">
        <v>36</v>
      </c>
      <c r="AH71" s="4">
        <v>5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  <c r="BB71" s="4">
        <v>0</v>
      </c>
      <c r="BC71" s="4">
        <v>0</v>
      </c>
      <c r="BD71" s="4">
        <v>0</v>
      </c>
      <c r="BE71" s="4">
        <v>0</v>
      </c>
      <c r="BF71" s="4">
        <v>0</v>
      </c>
      <c r="BG71" s="4">
        <v>0</v>
      </c>
      <c r="BH71" s="4">
        <v>0</v>
      </c>
      <c r="BI71" s="4">
        <v>0</v>
      </c>
      <c r="BJ71" s="4">
        <v>0</v>
      </c>
      <c r="BK71" s="4">
        <v>0</v>
      </c>
      <c r="BL71" s="4">
        <v>0</v>
      </c>
      <c r="BM71" s="4">
        <v>0</v>
      </c>
      <c r="BN71" s="4">
        <v>0</v>
      </c>
      <c r="BO71" s="4">
        <v>0</v>
      </c>
      <c r="BP71" s="4">
        <v>0</v>
      </c>
      <c r="BQ71" s="4">
        <v>0</v>
      </c>
      <c r="BR71" s="4">
        <v>0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4">
        <v>0</v>
      </c>
      <c r="BY71" s="4">
        <v>0</v>
      </c>
      <c r="BZ71" s="4">
        <v>0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>
        <v>0</v>
      </c>
      <c r="CG71" s="4">
        <v>0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H71" s="34" t="s">
        <v>51</v>
      </c>
    </row>
    <row r="72" spans="4:138" ht="16.5" thickTop="1" thickBot="1" x14ac:dyDescent="0.55000000000000004">
      <c r="D72" s="101"/>
      <c r="E72" s="99"/>
      <c r="F72" s="4">
        <v>8</v>
      </c>
      <c r="G72" s="4">
        <v>7</v>
      </c>
      <c r="H72" s="4">
        <v>6</v>
      </c>
      <c r="I72" s="4">
        <v>4</v>
      </c>
      <c r="J72" s="4">
        <v>3</v>
      </c>
      <c r="K72" s="4">
        <v>2</v>
      </c>
      <c r="L72" s="4">
        <v>1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0</v>
      </c>
      <c r="BO72" s="4">
        <v>0</v>
      </c>
      <c r="BP72" s="4">
        <v>0</v>
      </c>
      <c r="BQ72" s="4">
        <v>0</v>
      </c>
      <c r="BR72" s="4">
        <v>0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>
        <v>0</v>
      </c>
      <c r="CG72" s="4">
        <v>0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H72" s="33" t="s">
        <v>48</v>
      </c>
    </row>
    <row r="73" spans="4:138" ht="16.149999999999999" thickBot="1" x14ac:dyDescent="0.55000000000000004">
      <c r="D73" s="100">
        <v>33</v>
      </c>
      <c r="E73" s="98" t="s">
        <v>15</v>
      </c>
      <c r="F73" s="4">
        <v>8</v>
      </c>
      <c r="G73" s="4">
        <v>9</v>
      </c>
      <c r="H73" s="4">
        <v>10</v>
      </c>
      <c r="I73" s="4">
        <v>11</v>
      </c>
      <c r="J73" s="4">
        <v>12</v>
      </c>
      <c r="K73" s="4">
        <v>13</v>
      </c>
      <c r="L73" s="4">
        <v>14</v>
      </c>
      <c r="M73" s="4">
        <v>15</v>
      </c>
      <c r="N73" s="4">
        <v>16</v>
      </c>
      <c r="O73" s="4">
        <v>17</v>
      </c>
      <c r="P73" s="4">
        <v>18</v>
      </c>
      <c r="Q73" s="4">
        <v>19</v>
      </c>
      <c r="R73" s="4">
        <v>20</v>
      </c>
      <c r="S73" s="4">
        <v>21</v>
      </c>
      <c r="T73" s="4">
        <v>22</v>
      </c>
      <c r="U73" s="4">
        <v>23</v>
      </c>
      <c r="V73" s="4">
        <v>24</v>
      </c>
      <c r="W73" s="4">
        <v>25</v>
      </c>
      <c r="X73" s="4">
        <v>26</v>
      </c>
      <c r="Y73" s="4">
        <v>27</v>
      </c>
      <c r="Z73" s="4">
        <v>28</v>
      </c>
      <c r="AA73" s="4">
        <v>29</v>
      </c>
      <c r="AB73" s="4">
        <v>30</v>
      </c>
      <c r="AC73" s="4">
        <v>31</v>
      </c>
      <c r="AD73" s="4">
        <v>32</v>
      </c>
      <c r="AE73" s="4">
        <v>33</v>
      </c>
      <c r="AF73" s="4">
        <v>34</v>
      </c>
      <c r="AG73" s="4">
        <v>35</v>
      </c>
      <c r="AH73" s="4">
        <v>36</v>
      </c>
      <c r="AI73" s="4">
        <v>5</v>
      </c>
      <c r="AJ73" s="4">
        <v>0</v>
      </c>
      <c r="AK73" s="4">
        <v>0</v>
      </c>
      <c r="AL73" s="4">
        <v>0</v>
      </c>
      <c r="AM73" s="4">
        <v>0</v>
      </c>
      <c r="AN73" s="4">
        <v>0</v>
      </c>
      <c r="AO73" s="4">
        <v>0</v>
      </c>
      <c r="AP73" s="4">
        <v>0</v>
      </c>
      <c r="AQ73" s="4">
        <v>0</v>
      </c>
      <c r="AR73" s="4">
        <v>0</v>
      </c>
      <c r="AS73" s="4">
        <v>0</v>
      </c>
      <c r="AT73" s="4">
        <v>0</v>
      </c>
      <c r="AU73" s="4">
        <v>0</v>
      </c>
      <c r="AV73" s="4">
        <v>0</v>
      </c>
      <c r="AW73" s="4">
        <v>0</v>
      </c>
      <c r="AX73" s="4">
        <v>0</v>
      </c>
      <c r="AY73" s="4">
        <v>0</v>
      </c>
      <c r="AZ73" s="4">
        <v>0</v>
      </c>
      <c r="BA73" s="4">
        <v>0</v>
      </c>
      <c r="BB73" s="4">
        <v>0</v>
      </c>
      <c r="BC73" s="4">
        <v>0</v>
      </c>
      <c r="BD73" s="4">
        <v>0</v>
      </c>
      <c r="BE73" s="4">
        <v>0</v>
      </c>
      <c r="BF73" s="4">
        <v>0</v>
      </c>
      <c r="BG73" s="4">
        <v>0</v>
      </c>
      <c r="BH73" s="4">
        <v>0</v>
      </c>
      <c r="BI73" s="4">
        <v>0</v>
      </c>
      <c r="BJ73" s="4">
        <v>0</v>
      </c>
      <c r="BK73" s="4">
        <v>0</v>
      </c>
      <c r="BL73" s="4">
        <v>0</v>
      </c>
      <c r="BM73" s="4">
        <v>0</v>
      </c>
      <c r="BN73" s="4">
        <v>0</v>
      </c>
      <c r="BO73" s="4">
        <v>0</v>
      </c>
      <c r="BP73" s="4">
        <v>0</v>
      </c>
      <c r="BQ73" s="4">
        <v>0</v>
      </c>
      <c r="BR73" s="4">
        <v>0</v>
      </c>
      <c r="BS73" s="4">
        <v>0</v>
      </c>
      <c r="BT73" s="4">
        <v>0</v>
      </c>
      <c r="BU73" s="4">
        <v>0</v>
      </c>
      <c r="BV73" s="4">
        <v>0</v>
      </c>
      <c r="BW73" s="4">
        <v>0</v>
      </c>
      <c r="BX73" s="4">
        <v>0</v>
      </c>
      <c r="BY73" s="4">
        <v>0</v>
      </c>
      <c r="BZ73" s="4">
        <v>0</v>
      </c>
      <c r="CA73" s="4">
        <v>0</v>
      </c>
      <c r="CB73" s="4">
        <v>0</v>
      </c>
      <c r="CC73" s="4">
        <v>0</v>
      </c>
      <c r="CD73" s="4">
        <v>0</v>
      </c>
      <c r="CE73" s="4">
        <v>0</v>
      </c>
      <c r="CF73" s="4">
        <v>0</v>
      </c>
      <c r="CG73" s="4">
        <v>0</v>
      </c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CQ73" s="4">
        <v>0</v>
      </c>
      <c r="CR73" s="4">
        <v>0</v>
      </c>
      <c r="CS73" s="4">
        <v>0</v>
      </c>
      <c r="CT73" s="4">
        <v>0</v>
      </c>
      <c r="CU73" s="4">
        <v>0</v>
      </c>
      <c r="CV73" s="4">
        <v>0</v>
      </c>
      <c r="CW73" s="4">
        <v>0</v>
      </c>
      <c r="CX73" s="4">
        <v>0</v>
      </c>
      <c r="CY73" s="4">
        <v>0</v>
      </c>
      <c r="CZ73" s="4">
        <v>0</v>
      </c>
      <c r="DA73" s="4">
        <v>0</v>
      </c>
      <c r="DB73" s="4">
        <v>0</v>
      </c>
      <c r="DC73" s="4">
        <v>0</v>
      </c>
      <c r="DD73" s="4">
        <v>0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H73" s="34" t="s">
        <v>51</v>
      </c>
    </row>
    <row r="74" spans="4:138" ht="16.5" thickTop="1" thickBot="1" x14ac:dyDescent="0.55000000000000004">
      <c r="D74" s="101"/>
      <c r="E74" s="99"/>
      <c r="F74" s="4">
        <v>7</v>
      </c>
      <c r="G74" s="4">
        <v>6</v>
      </c>
      <c r="H74" s="4">
        <v>4</v>
      </c>
      <c r="I74" s="4">
        <v>3</v>
      </c>
      <c r="J74" s="4">
        <v>2</v>
      </c>
      <c r="K74" s="4">
        <v>1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  <c r="AM74" s="4">
        <v>0</v>
      </c>
      <c r="AN74" s="4">
        <v>0</v>
      </c>
      <c r="AO74" s="4">
        <v>0</v>
      </c>
      <c r="AP74" s="4">
        <v>0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4">
        <v>0</v>
      </c>
      <c r="AW74" s="4">
        <v>0</v>
      </c>
      <c r="AX74" s="4">
        <v>0</v>
      </c>
      <c r="AY74" s="4">
        <v>0</v>
      </c>
      <c r="AZ74" s="4">
        <v>0</v>
      </c>
      <c r="BA74" s="4">
        <v>0</v>
      </c>
      <c r="BB74" s="4">
        <v>0</v>
      </c>
      <c r="BC74" s="4">
        <v>0</v>
      </c>
      <c r="BD74" s="4">
        <v>0</v>
      </c>
      <c r="BE74" s="4">
        <v>0</v>
      </c>
      <c r="BF74" s="4">
        <v>0</v>
      </c>
      <c r="BG74" s="4">
        <v>0</v>
      </c>
      <c r="BH74" s="4">
        <v>0</v>
      </c>
      <c r="BI74" s="4">
        <v>0</v>
      </c>
      <c r="BJ74" s="4">
        <v>0</v>
      </c>
      <c r="BK74" s="4">
        <v>0</v>
      </c>
      <c r="BL74" s="4">
        <v>0</v>
      </c>
      <c r="BM74" s="4">
        <v>0</v>
      </c>
      <c r="BN74" s="4">
        <v>0</v>
      </c>
      <c r="BO74" s="4">
        <v>0</v>
      </c>
      <c r="BP74" s="4">
        <v>0</v>
      </c>
      <c r="BQ74" s="4">
        <v>0</v>
      </c>
      <c r="BR74" s="4">
        <v>0</v>
      </c>
      <c r="BS74" s="4">
        <v>0</v>
      </c>
      <c r="BT74" s="4">
        <v>0</v>
      </c>
      <c r="BU74" s="4">
        <v>0</v>
      </c>
      <c r="BV74" s="4">
        <v>0</v>
      </c>
      <c r="BW74" s="4">
        <v>0</v>
      </c>
      <c r="BX74" s="4">
        <v>0</v>
      </c>
      <c r="BY74" s="4">
        <v>0</v>
      </c>
      <c r="BZ74" s="4">
        <v>0</v>
      </c>
      <c r="CA74" s="4">
        <v>0</v>
      </c>
      <c r="CB74" s="4">
        <v>0</v>
      </c>
      <c r="CC74" s="4">
        <v>0</v>
      </c>
      <c r="CD74" s="4">
        <v>0</v>
      </c>
      <c r="CE74" s="4">
        <v>0</v>
      </c>
      <c r="CF74" s="4">
        <v>0</v>
      </c>
      <c r="CG74" s="4">
        <v>0</v>
      </c>
      <c r="CH74" s="4">
        <v>0</v>
      </c>
      <c r="CI74" s="4">
        <v>0</v>
      </c>
      <c r="CJ74" s="4">
        <v>0</v>
      </c>
      <c r="CK74" s="4">
        <v>0</v>
      </c>
      <c r="CL74" s="4">
        <v>0</v>
      </c>
      <c r="CM74" s="4">
        <v>0</v>
      </c>
      <c r="CN74" s="4">
        <v>0</v>
      </c>
      <c r="CO74" s="4">
        <v>0</v>
      </c>
      <c r="CP74" s="4">
        <v>0</v>
      </c>
      <c r="CQ74" s="4">
        <v>0</v>
      </c>
      <c r="CR74" s="4">
        <v>0</v>
      </c>
      <c r="CS74" s="4">
        <v>0</v>
      </c>
      <c r="CT74" s="4">
        <v>0</v>
      </c>
      <c r="CU74" s="4">
        <v>0</v>
      </c>
      <c r="CV74" s="4">
        <v>0</v>
      </c>
      <c r="CW74" s="4">
        <v>0</v>
      </c>
      <c r="CX74" s="4">
        <v>0</v>
      </c>
      <c r="CY74" s="4">
        <v>0</v>
      </c>
      <c r="CZ74" s="4">
        <v>0</v>
      </c>
      <c r="DA74" s="4">
        <v>0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H74" s="33" t="s">
        <v>48</v>
      </c>
    </row>
    <row r="75" spans="4:138" ht="16.149999999999999" thickBot="1" x14ac:dyDescent="0.55000000000000004">
      <c r="D75" s="100">
        <v>34</v>
      </c>
      <c r="E75" s="98" t="s">
        <v>15</v>
      </c>
      <c r="F75" s="4">
        <v>7</v>
      </c>
      <c r="G75" s="4">
        <v>8</v>
      </c>
      <c r="H75" s="4">
        <v>9</v>
      </c>
      <c r="I75" s="4">
        <v>10</v>
      </c>
      <c r="J75" s="4">
        <v>11</v>
      </c>
      <c r="K75" s="4">
        <v>12</v>
      </c>
      <c r="L75" s="4">
        <v>13</v>
      </c>
      <c r="M75" s="4">
        <v>14</v>
      </c>
      <c r="N75" s="4">
        <v>15</v>
      </c>
      <c r="O75" s="4">
        <v>16</v>
      </c>
      <c r="P75" s="4">
        <v>17</v>
      </c>
      <c r="Q75" s="4">
        <v>18</v>
      </c>
      <c r="R75" s="4">
        <v>19</v>
      </c>
      <c r="S75" s="4">
        <v>20</v>
      </c>
      <c r="T75" s="4">
        <v>21</v>
      </c>
      <c r="U75" s="4">
        <v>22</v>
      </c>
      <c r="V75" s="4">
        <v>23</v>
      </c>
      <c r="W75" s="4">
        <v>24</v>
      </c>
      <c r="X75" s="4">
        <v>25</v>
      </c>
      <c r="Y75" s="4">
        <v>26</v>
      </c>
      <c r="Z75" s="4">
        <v>27</v>
      </c>
      <c r="AA75" s="4">
        <v>28</v>
      </c>
      <c r="AB75" s="4">
        <v>29</v>
      </c>
      <c r="AC75" s="4">
        <v>30</v>
      </c>
      <c r="AD75" s="4">
        <v>31</v>
      </c>
      <c r="AE75" s="4">
        <v>32</v>
      </c>
      <c r="AF75" s="4">
        <v>33</v>
      </c>
      <c r="AG75" s="4">
        <v>34</v>
      </c>
      <c r="AH75" s="4">
        <v>35</v>
      </c>
      <c r="AI75" s="4">
        <v>36</v>
      </c>
      <c r="AJ75" s="4">
        <v>5</v>
      </c>
      <c r="AK75" s="4">
        <v>0</v>
      </c>
      <c r="AL75" s="4">
        <v>0</v>
      </c>
      <c r="AM75" s="4">
        <v>0</v>
      </c>
      <c r="AN75" s="4">
        <v>0</v>
      </c>
      <c r="AO75" s="4">
        <v>0</v>
      </c>
      <c r="AP75" s="4">
        <v>0</v>
      </c>
      <c r="AQ75" s="4">
        <v>0</v>
      </c>
      <c r="AR75" s="4">
        <v>0</v>
      </c>
      <c r="AS75" s="4">
        <v>0</v>
      </c>
      <c r="AT75" s="4">
        <v>0</v>
      </c>
      <c r="AU75" s="4">
        <v>0</v>
      </c>
      <c r="AV75" s="4">
        <v>0</v>
      </c>
      <c r="AW75" s="4">
        <v>0</v>
      </c>
      <c r="AX75" s="4">
        <v>0</v>
      </c>
      <c r="AY75" s="4">
        <v>0</v>
      </c>
      <c r="AZ75" s="4">
        <v>0</v>
      </c>
      <c r="BA75" s="4">
        <v>0</v>
      </c>
      <c r="BB75" s="4">
        <v>0</v>
      </c>
      <c r="BC75" s="4">
        <v>0</v>
      </c>
      <c r="BD75" s="4">
        <v>0</v>
      </c>
      <c r="BE75" s="4">
        <v>0</v>
      </c>
      <c r="BF75" s="4">
        <v>0</v>
      </c>
      <c r="BG75" s="4">
        <v>0</v>
      </c>
      <c r="BH75" s="4">
        <v>0</v>
      </c>
      <c r="BI75" s="4">
        <v>0</v>
      </c>
      <c r="BJ75" s="4">
        <v>0</v>
      </c>
      <c r="BK75" s="4">
        <v>0</v>
      </c>
      <c r="BL75" s="4">
        <v>0</v>
      </c>
      <c r="BM75" s="4">
        <v>0</v>
      </c>
      <c r="BN75" s="4">
        <v>0</v>
      </c>
      <c r="BO75" s="4">
        <v>0</v>
      </c>
      <c r="BP75" s="4">
        <v>0</v>
      </c>
      <c r="BQ75" s="4">
        <v>0</v>
      </c>
      <c r="BR75" s="4">
        <v>0</v>
      </c>
      <c r="BS75" s="4">
        <v>0</v>
      </c>
      <c r="BT75" s="4">
        <v>0</v>
      </c>
      <c r="BU75" s="4">
        <v>0</v>
      </c>
      <c r="BV75" s="4">
        <v>0</v>
      </c>
      <c r="BW75" s="4">
        <v>0</v>
      </c>
      <c r="BX75" s="4">
        <v>0</v>
      </c>
      <c r="BY75" s="4">
        <v>0</v>
      </c>
      <c r="BZ75" s="4">
        <v>0</v>
      </c>
      <c r="CA75" s="4">
        <v>0</v>
      </c>
      <c r="CB75" s="4">
        <v>0</v>
      </c>
      <c r="CC75" s="4">
        <v>0</v>
      </c>
      <c r="CD75" s="4">
        <v>0</v>
      </c>
      <c r="CE75" s="4">
        <v>0</v>
      </c>
      <c r="CF75" s="4">
        <v>0</v>
      </c>
      <c r="CG75" s="4">
        <v>0</v>
      </c>
      <c r="CH75" s="4">
        <v>0</v>
      </c>
      <c r="CI75" s="4">
        <v>0</v>
      </c>
      <c r="CJ75" s="4">
        <v>0</v>
      </c>
      <c r="CK75" s="4">
        <v>0</v>
      </c>
      <c r="CL75" s="4">
        <v>0</v>
      </c>
      <c r="CM75" s="4">
        <v>0</v>
      </c>
      <c r="CN75" s="4">
        <v>0</v>
      </c>
      <c r="CO75" s="4">
        <v>0</v>
      </c>
      <c r="CP75" s="4">
        <v>0</v>
      </c>
      <c r="CQ75" s="4">
        <v>0</v>
      </c>
      <c r="CR75" s="4">
        <v>0</v>
      </c>
      <c r="CS75" s="4">
        <v>0</v>
      </c>
      <c r="CT75" s="4">
        <v>0</v>
      </c>
      <c r="CU75" s="4">
        <v>0</v>
      </c>
      <c r="CV75" s="4">
        <v>0</v>
      </c>
      <c r="CW75" s="4">
        <v>0</v>
      </c>
      <c r="CX75" s="4">
        <v>0</v>
      </c>
      <c r="CY75" s="4">
        <v>0</v>
      </c>
      <c r="CZ75" s="4">
        <v>0</v>
      </c>
      <c r="DA75" s="4">
        <v>0</v>
      </c>
      <c r="DB75" s="4">
        <v>0</v>
      </c>
      <c r="DC75" s="4">
        <v>0</v>
      </c>
      <c r="DD75" s="4">
        <v>0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4">
        <v>0</v>
      </c>
      <c r="DN75" s="4">
        <v>0</v>
      </c>
      <c r="DO75" s="4">
        <v>0</v>
      </c>
      <c r="DP75" s="4">
        <v>0</v>
      </c>
      <c r="DQ75" s="4">
        <v>0</v>
      </c>
      <c r="DR75" s="4">
        <v>0</v>
      </c>
      <c r="DS75" s="4">
        <v>0</v>
      </c>
      <c r="DT75" s="4">
        <v>0</v>
      </c>
      <c r="DU75" s="4">
        <v>0</v>
      </c>
      <c r="DV75" s="4">
        <v>0</v>
      </c>
      <c r="DW75" s="4">
        <v>0</v>
      </c>
      <c r="DX75" s="4">
        <v>0</v>
      </c>
      <c r="DY75" s="4">
        <v>0</v>
      </c>
      <c r="DZ75" s="4">
        <v>0</v>
      </c>
      <c r="EA75" s="4">
        <v>0</v>
      </c>
      <c r="EB75" s="4">
        <v>0</v>
      </c>
      <c r="EC75" s="4">
        <v>0</v>
      </c>
      <c r="EH75" s="34" t="s">
        <v>51</v>
      </c>
    </row>
    <row r="76" spans="4:138" ht="16.5" thickTop="1" thickBot="1" x14ac:dyDescent="0.55000000000000004">
      <c r="D76" s="101"/>
      <c r="E76" s="99"/>
      <c r="F76" s="4">
        <v>6</v>
      </c>
      <c r="G76" s="4">
        <v>4</v>
      </c>
      <c r="H76" s="4">
        <v>3</v>
      </c>
      <c r="I76" s="4">
        <v>2</v>
      </c>
      <c r="J76" s="4">
        <v>1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4">
        <v>0</v>
      </c>
      <c r="AM76" s="4">
        <v>0</v>
      </c>
      <c r="AN76" s="4">
        <v>0</v>
      </c>
      <c r="AO76" s="4">
        <v>0</v>
      </c>
      <c r="AP76" s="4">
        <v>0</v>
      </c>
      <c r="AQ76" s="4">
        <v>0</v>
      </c>
      <c r="AR76" s="4">
        <v>0</v>
      </c>
      <c r="AS76" s="4">
        <v>0</v>
      </c>
      <c r="AT76" s="4">
        <v>0</v>
      </c>
      <c r="AU76" s="4">
        <v>0</v>
      </c>
      <c r="AV76" s="4">
        <v>0</v>
      </c>
      <c r="AW76" s="4">
        <v>0</v>
      </c>
      <c r="AX76" s="4">
        <v>0</v>
      </c>
      <c r="AY76" s="4">
        <v>0</v>
      </c>
      <c r="AZ76" s="4">
        <v>0</v>
      </c>
      <c r="BA76" s="4">
        <v>0</v>
      </c>
      <c r="BB76" s="4">
        <v>0</v>
      </c>
      <c r="BC76" s="4">
        <v>0</v>
      </c>
      <c r="BD76" s="4">
        <v>0</v>
      </c>
      <c r="BE76" s="4">
        <v>0</v>
      </c>
      <c r="BF76" s="4">
        <v>0</v>
      </c>
      <c r="BG76" s="4">
        <v>0</v>
      </c>
      <c r="BH76" s="4">
        <v>0</v>
      </c>
      <c r="BI76" s="4">
        <v>0</v>
      </c>
      <c r="BJ76" s="4">
        <v>0</v>
      </c>
      <c r="BK76" s="4">
        <v>0</v>
      </c>
      <c r="BL76" s="4">
        <v>0</v>
      </c>
      <c r="BM76" s="4">
        <v>0</v>
      </c>
      <c r="BN76" s="4">
        <v>0</v>
      </c>
      <c r="BO76" s="4">
        <v>0</v>
      </c>
      <c r="BP76" s="4">
        <v>0</v>
      </c>
      <c r="BQ76" s="4">
        <v>0</v>
      </c>
      <c r="BR76" s="4">
        <v>0</v>
      </c>
      <c r="BS76" s="4">
        <v>0</v>
      </c>
      <c r="BT76" s="4">
        <v>0</v>
      </c>
      <c r="BU76" s="4">
        <v>0</v>
      </c>
      <c r="BV76" s="4">
        <v>0</v>
      </c>
      <c r="BW76" s="4">
        <v>0</v>
      </c>
      <c r="BX76" s="4">
        <v>0</v>
      </c>
      <c r="BY76" s="4">
        <v>0</v>
      </c>
      <c r="BZ76" s="4">
        <v>0</v>
      </c>
      <c r="CA76" s="4">
        <v>0</v>
      </c>
      <c r="CB76" s="4">
        <v>0</v>
      </c>
      <c r="CC76" s="4">
        <v>0</v>
      </c>
      <c r="CD76" s="4">
        <v>0</v>
      </c>
      <c r="CE76" s="4">
        <v>0</v>
      </c>
      <c r="CF76" s="4">
        <v>0</v>
      </c>
      <c r="CG76" s="4">
        <v>0</v>
      </c>
      <c r="CH76" s="4"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CQ76" s="4">
        <v>0</v>
      </c>
      <c r="CR76" s="4">
        <v>0</v>
      </c>
      <c r="CS76" s="4">
        <v>0</v>
      </c>
      <c r="CT76" s="4">
        <v>0</v>
      </c>
      <c r="CU76" s="4">
        <v>0</v>
      </c>
      <c r="CV76" s="4">
        <v>0</v>
      </c>
      <c r="CW76" s="4">
        <v>0</v>
      </c>
      <c r="CX76" s="4">
        <v>0</v>
      </c>
      <c r="CY76" s="4">
        <v>0</v>
      </c>
      <c r="CZ76" s="4">
        <v>0</v>
      </c>
      <c r="DA76" s="4">
        <v>0</v>
      </c>
      <c r="DB76" s="4">
        <v>0</v>
      </c>
      <c r="DC76" s="4">
        <v>0</v>
      </c>
      <c r="DD76" s="4">
        <v>0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0</v>
      </c>
      <c r="DO76" s="4">
        <v>0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0</v>
      </c>
      <c r="DY76" s="4">
        <v>0</v>
      </c>
      <c r="DZ76" s="4">
        <v>0</v>
      </c>
      <c r="EA76" s="4">
        <v>0</v>
      </c>
      <c r="EB76" s="4">
        <v>0</v>
      </c>
      <c r="EC76" s="4">
        <v>0</v>
      </c>
      <c r="EH76" s="33" t="s">
        <v>48</v>
      </c>
    </row>
    <row r="77" spans="4:138" ht="16.149999999999999" thickBot="1" x14ac:dyDescent="0.55000000000000004">
      <c r="D77" s="100">
        <v>35</v>
      </c>
      <c r="E77" s="98" t="s">
        <v>15</v>
      </c>
      <c r="F77" s="4">
        <v>6</v>
      </c>
      <c r="G77" s="4">
        <v>7</v>
      </c>
      <c r="H77" s="4">
        <v>8</v>
      </c>
      <c r="I77" s="4">
        <v>9</v>
      </c>
      <c r="J77" s="4">
        <v>10</v>
      </c>
      <c r="K77" s="4">
        <v>11</v>
      </c>
      <c r="L77" s="4">
        <v>12</v>
      </c>
      <c r="M77" s="4">
        <v>13</v>
      </c>
      <c r="N77" s="4">
        <v>14</v>
      </c>
      <c r="O77" s="4">
        <v>15</v>
      </c>
      <c r="P77" s="4">
        <v>16</v>
      </c>
      <c r="Q77" s="4">
        <v>17</v>
      </c>
      <c r="R77" s="4">
        <v>18</v>
      </c>
      <c r="S77" s="4">
        <v>19</v>
      </c>
      <c r="T77" s="4">
        <v>20</v>
      </c>
      <c r="U77" s="4">
        <v>21</v>
      </c>
      <c r="V77" s="4">
        <v>22</v>
      </c>
      <c r="W77" s="4">
        <v>23</v>
      </c>
      <c r="X77" s="4">
        <v>24</v>
      </c>
      <c r="Y77" s="4">
        <v>25</v>
      </c>
      <c r="Z77" s="4">
        <v>26</v>
      </c>
      <c r="AA77" s="4">
        <v>27</v>
      </c>
      <c r="AB77" s="4">
        <v>28</v>
      </c>
      <c r="AC77" s="4">
        <v>29</v>
      </c>
      <c r="AD77" s="4">
        <v>30</v>
      </c>
      <c r="AE77" s="4">
        <v>31</v>
      </c>
      <c r="AF77" s="4">
        <v>32</v>
      </c>
      <c r="AG77" s="4">
        <v>33</v>
      </c>
      <c r="AH77" s="4">
        <v>34</v>
      </c>
      <c r="AI77" s="4">
        <v>35</v>
      </c>
      <c r="AJ77" s="4">
        <v>36</v>
      </c>
      <c r="AK77" s="4">
        <v>5</v>
      </c>
      <c r="AL77" s="4">
        <v>0</v>
      </c>
      <c r="AM77" s="4">
        <v>0</v>
      </c>
      <c r="AN77" s="4">
        <v>0</v>
      </c>
      <c r="AO77" s="4">
        <v>0</v>
      </c>
      <c r="AP77" s="4">
        <v>0</v>
      </c>
      <c r="AQ77" s="4">
        <v>0</v>
      </c>
      <c r="AR77" s="4">
        <v>0</v>
      </c>
      <c r="AS77" s="4">
        <v>0</v>
      </c>
      <c r="AT77" s="4">
        <v>0</v>
      </c>
      <c r="AU77" s="4">
        <v>0</v>
      </c>
      <c r="AV77" s="4">
        <v>0</v>
      </c>
      <c r="AW77" s="4">
        <v>0</v>
      </c>
      <c r="AX77" s="4">
        <v>0</v>
      </c>
      <c r="AY77" s="4">
        <v>0</v>
      </c>
      <c r="AZ77" s="4">
        <v>0</v>
      </c>
      <c r="BA77" s="4">
        <v>0</v>
      </c>
      <c r="BB77" s="4">
        <v>0</v>
      </c>
      <c r="BC77" s="4">
        <v>0</v>
      </c>
      <c r="BD77" s="4">
        <v>0</v>
      </c>
      <c r="BE77" s="4">
        <v>0</v>
      </c>
      <c r="BF77" s="4">
        <v>0</v>
      </c>
      <c r="BG77" s="4">
        <v>0</v>
      </c>
      <c r="BH77" s="4">
        <v>0</v>
      </c>
      <c r="BI77" s="4">
        <v>0</v>
      </c>
      <c r="BJ77" s="4">
        <v>0</v>
      </c>
      <c r="BK77" s="4">
        <v>0</v>
      </c>
      <c r="BL77" s="4">
        <v>0</v>
      </c>
      <c r="BM77" s="4">
        <v>0</v>
      </c>
      <c r="BN77" s="4">
        <v>0</v>
      </c>
      <c r="BO77" s="4">
        <v>0</v>
      </c>
      <c r="BP77" s="4">
        <v>0</v>
      </c>
      <c r="BQ77" s="4">
        <v>0</v>
      </c>
      <c r="BR77" s="4">
        <v>0</v>
      </c>
      <c r="BS77" s="4">
        <v>0</v>
      </c>
      <c r="BT77" s="4">
        <v>0</v>
      </c>
      <c r="BU77" s="4">
        <v>0</v>
      </c>
      <c r="BV77" s="4">
        <v>0</v>
      </c>
      <c r="BW77" s="4">
        <v>0</v>
      </c>
      <c r="BX77" s="4">
        <v>0</v>
      </c>
      <c r="BY77" s="4">
        <v>0</v>
      </c>
      <c r="BZ77" s="4">
        <v>0</v>
      </c>
      <c r="CA77" s="4">
        <v>0</v>
      </c>
      <c r="CB77" s="4">
        <v>0</v>
      </c>
      <c r="CC77" s="4">
        <v>0</v>
      </c>
      <c r="CD77" s="4">
        <v>0</v>
      </c>
      <c r="CE77" s="4">
        <v>0</v>
      </c>
      <c r="CF77" s="4">
        <v>0</v>
      </c>
      <c r="CG77" s="4">
        <v>0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CQ77" s="4">
        <v>0</v>
      </c>
      <c r="CR77" s="4">
        <v>0</v>
      </c>
      <c r="CS77" s="4">
        <v>0</v>
      </c>
      <c r="CT77" s="4">
        <v>0</v>
      </c>
      <c r="CU77" s="4">
        <v>0</v>
      </c>
      <c r="CV77" s="4">
        <v>0</v>
      </c>
      <c r="CW77" s="4">
        <v>0</v>
      </c>
      <c r="CX77" s="4">
        <v>0</v>
      </c>
      <c r="CY77" s="4">
        <v>0</v>
      </c>
      <c r="CZ77" s="4">
        <v>0</v>
      </c>
      <c r="DA77" s="4">
        <v>0</v>
      </c>
      <c r="DB77" s="4">
        <v>0</v>
      </c>
      <c r="DC77" s="4">
        <v>0</v>
      </c>
      <c r="DD77" s="4">
        <v>0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0</v>
      </c>
      <c r="DY77" s="4">
        <v>0</v>
      </c>
      <c r="DZ77" s="4">
        <v>0</v>
      </c>
      <c r="EA77" s="4">
        <v>0</v>
      </c>
      <c r="EB77" s="4">
        <v>0</v>
      </c>
      <c r="EC77" s="4">
        <v>0</v>
      </c>
      <c r="EH77" s="34" t="s">
        <v>51</v>
      </c>
    </row>
    <row r="78" spans="4:138" ht="16.5" thickTop="1" thickBot="1" x14ac:dyDescent="0.55000000000000004">
      <c r="D78" s="101"/>
      <c r="E78" s="99"/>
      <c r="F78" s="4">
        <v>4</v>
      </c>
      <c r="G78" s="4">
        <v>3</v>
      </c>
      <c r="H78" s="4">
        <v>2</v>
      </c>
      <c r="I78" s="4">
        <v>1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0</v>
      </c>
      <c r="AZ78" s="4">
        <v>0</v>
      </c>
      <c r="BA78" s="4">
        <v>0</v>
      </c>
      <c r="BB78" s="4">
        <v>0</v>
      </c>
      <c r="BC78" s="4">
        <v>0</v>
      </c>
      <c r="BD78" s="4">
        <v>0</v>
      </c>
      <c r="BE78" s="4">
        <v>0</v>
      </c>
      <c r="BF78" s="4">
        <v>0</v>
      </c>
      <c r="BG78" s="4">
        <v>0</v>
      </c>
      <c r="BH78" s="4">
        <v>0</v>
      </c>
      <c r="BI78" s="4">
        <v>0</v>
      </c>
      <c r="BJ78" s="4">
        <v>0</v>
      </c>
      <c r="BK78" s="4">
        <v>0</v>
      </c>
      <c r="BL78" s="4">
        <v>0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R78" s="4">
        <v>0</v>
      </c>
      <c r="BS78" s="4">
        <v>0</v>
      </c>
      <c r="BT78" s="4">
        <v>0</v>
      </c>
      <c r="BU78" s="4">
        <v>0</v>
      </c>
      <c r="BV78" s="4">
        <v>0</v>
      </c>
      <c r="BW78" s="4">
        <v>0</v>
      </c>
      <c r="BX78" s="4">
        <v>0</v>
      </c>
      <c r="BY78" s="4">
        <v>0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0</v>
      </c>
      <c r="CF78" s="4">
        <v>0</v>
      </c>
      <c r="CG78" s="4">
        <v>0</v>
      </c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  <c r="CT78" s="4">
        <v>0</v>
      </c>
      <c r="CU78" s="4">
        <v>0</v>
      </c>
      <c r="CV78" s="4">
        <v>0</v>
      </c>
      <c r="CW78" s="4">
        <v>0</v>
      </c>
      <c r="CX78" s="4">
        <v>0</v>
      </c>
      <c r="CY78" s="4">
        <v>0</v>
      </c>
      <c r="CZ78" s="4">
        <v>0</v>
      </c>
      <c r="DA78" s="4">
        <v>0</v>
      </c>
      <c r="DB78" s="4">
        <v>0</v>
      </c>
      <c r="DC78" s="4">
        <v>0</v>
      </c>
      <c r="DD78" s="4">
        <v>0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0</v>
      </c>
      <c r="DS78" s="4">
        <v>0</v>
      </c>
      <c r="DT78" s="4">
        <v>0</v>
      </c>
      <c r="DU78" s="4">
        <v>0</v>
      </c>
      <c r="DV78" s="4">
        <v>0</v>
      </c>
      <c r="DW78" s="4">
        <v>0</v>
      </c>
      <c r="DX78" s="4">
        <v>0</v>
      </c>
      <c r="DY78" s="4">
        <v>0</v>
      </c>
      <c r="DZ78" s="4">
        <v>0</v>
      </c>
      <c r="EA78" s="4">
        <v>0</v>
      </c>
      <c r="EB78" s="4">
        <v>0</v>
      </c>
      <c r="EC78" s="4">
        <v>0</v>
      </c>
      <c r="EH78" s="33" t="s">
        <v>48</v>
      </c>
    </row>
    <row r="79" spans="4:138" ht="16.149999999999999" thickBot="1" x14ac:dyDescent="0.55000000000000004">
      <c r="D79" s="100">
        <v>36</v>
      </c>
      <c r="E79" s="98" t="s">
        <v>19</v>
      </c>
      <c r="F79" s="4">
        <v>5</v>
      </c>
      <c r="G79" s="4">
        <v>6</v>
      </c>
      <c r="H79" s="4">
        <v>7</v>
      </c>
      <c r="I79" s="4">
        <v>8</v>
      </c>
      <c r="J79" s="4">
        <v>9</v>
      </c>
      <c r="K79" s="4">
        <v>10</v>
      </c>
      <c r="L79" s="4">
        <v>11</v>
      </c>
      <c r="M79" s="4">
        <v>12</v>
      </c>
      <c r="N79" s="4">
        <v>13</v>
      </c>
      <c r="O79" s="4">
        <v>14</v>
      </c>
      <c r="P79" s="4">
        <v>15</v>
      </c>
      <c r="Q79" s="4">
        <v>16</v>
      </c>
      <c r="R79" s="4">
        <v>17</v>
      </c>
      <c r="S79" s="4">
        <v>18</v>
      </c>
      <c r="T79" s="4">
        <v>19</v>
      </c>
      <c r="U79" s="4">
        <v>20</v>
      </c>
      <c r="V79" s="4">
        <v>21</v>
      </c>
      <c r="W79" s="4">
        <v>22</v>
      </c>
      <c r="X79" s="4">
        <v>23</v>
      </c>
      <c r="Y79" s="4">
        <v>24</v>
      </c>
      <c r="Z79" s="4">
        <v>25</v>
      </c>
      <c r="AA79" s="4">
        <v>26</v>
      </c>
      <c r="AB79" s="4">
        <v>27</v>
      </c>
      <c r="AC79" s="4">
        <v>28</v>
      </c>
      <c r="AD79" s="4">
        <v>29</v>
      </c>
      <c r="AE79" s="4">
        <v>30</v>
      </c>
      <c r="AF79" s="4">
        <v>31</v>
      </c>
      <c r="AG79" s="4">
        <v>32</v>
      </c>
      <c r="AH79" s="4">
        <v>33</v>
      </c>
      <c r="AI79" s="4">
        <v>34</v>
      </c>
      <c r="AJ79" s="4">
        <v>35</v>
      </c>
      <c r="AK79" s="4">
        <v>36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0</v>
      </c>
      <c r="AR79" s="4">
        <v>0</v>
      </c>
      <c r="AS79" s="4">
        <v>0</v>
      </c>
      <c r="AT79" s="4">
        <v>0</v>
      </c>
      <c r="AU79" s="4">
        <v>0</v>
      </c>
      <c r="AV79" s="4">
        <v>0</v>
      </c>
      <c r="AW79" s="4">
        <v>0</v>
      </c>
      <c r="AX79" s="4">
        <v>0</v>
      </c>
      <c r="AY79" s="4">
        <v>0</v>
      </c>
      <c r="AZ79" s="4">
        <v>0</v>
      </c>
      <c r="BA79" s="4">
        <v>0</v>
      </c>
      <c r="BB79" s="4">
        <v>0</v>
      </c>
      <c r="BC79" s="4">
        <v>0</v>
      </c>
      <c r="BD79" s="4">
        <v>0</v>
      </c>
      <c r="BE79" s="4">
        <v>0</v>
      </c>
      <c r="BF79" s="4">
        <v>0</v>
      </c>
      <c r="BG79" s="4">
        <v>0</v>
      </c>
      <c r="BH79" s="4">
        <v>0</v>
      </c>
      <c r="BI79" s="4">
        <v>0</v>
      </c>
      <c r="BJ79" s="4">
        <v>0</v>
      </c>
      <c r="BK79" s="4">
        <v>0</v>
      </c>
      <c r="BL79" s="4">
        <v>0</v>
      </c>
      <c r="BM79" s="4">
        <v>0</v>
      </c>
      <c r="BN79" s="4">
        <v>0</v>
      </c>
      <c r="BO79" s="4">
        <v>0</v>
      </c>
      <c r="BP79" s="4">
        <v>0</v>
      </c>
      <c r="BQ79" s="4">
        <v>0</v>
      </c>
      <c r="BR79" s="4">
        <v>0</v>
      </c>
      <c r="BS79" s="4">
        <v>0</v>
      </c>
      <c r="BT79" s="4">
        <v>0</v>
      </c>
      <c r="BU79" s="4">
        <v>0</v>
      </c>
      <c r="BV79" s="4">
        <v>0</v>
      </c>
      <c r="BW79" s="4">
        <v>0</v>
      </c>
      <c r="BX79" s="4">
        <v>0</v>
      </c>
      <c r="BY79" s="4">
        <v>0</v>
      </c>
      <c r="BZ79" s="4">
        <v>0</v>
      </c>
      <c r="CA79" s="4">
        <v>0</v>
      </c>
      <c r="CB79" s="4">
        <v>0</v>
      </c>
      <c r="CC79" s="4">
        <v>0</v>
      </c>
      <c r="CD79" s="4">
        <v>0</v>
      </c>
      <c r="CE79" s="4">
        <v>0</v>
      </c>
      <c r="CF79" s="4">
        <v>0</v>
      </c>
      <c r="CG79" s="4">
        <v>0</v>
      </c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H79" s="34" t="s">
        <v>51</v>
      </c>
    </row>
    <row r="80" spans="4:138" ht="16.5" thickTop="1" thickBot="1" x14ac:dyDescent="0.55000000000000004">
      <c r="D80" s="101"/>
      <c r="E80" s="99"/>
      <c r="F80" s="4">
        <v>4</v>
      </c>
      <c r="G80" s="4">
        <v>3</v>
      </c>
      <c r="H80" s="4">
        <v>2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0</v>
      </c>
      <c r="AP80" s="4">
        <v>0</v>
      </c>
      <c r="AQ80" s="4">
        <v>0</v>
      </c>
      <c r="AR80" s="4">
        <v>0</v>
      </c>
      <c r="AS80" s="4">
        <v>0</v>
      </c>
      <c r="AT80" s="4">
        <v>0</v>
      </c>
      <c r="AU80" s="4">
        <v>0</v>
      </c>
      <c r="AV80" s="4">
        <v>0</v>
      </c>
      <c r="AW80" s="4">
        <v>0</v>
      </c>
      <c r="AX80" s="4">
        <v>0</v>
      </c>
      <c r="AY80" s="4">
        <v>0</v>
      </c>
      <c r="AZ80" s="4">
        <v>0</v>
      </c>
      <c r="BA80" s="4">
        <v>0</v>
      </c>
      <c r="BB80" s="4">
        <v>0</v>
      </c>
      <c r="BC80" s="4">
        <v>0</v>
      </c>
      <c r="BD80" s="4">
        <v>0</v>
      </c>
      <c r="BE80" s="4">
        <v>0</v>
      </c>
      <c r="BF80" s="4">
        <v>0</v>
      </c>
      <c r="BG80" s="4">
        <v>0</v>
      </c>
      <c r="BH80" s="4">
        <v>0</v>
      </c>
      <c r="BI80" s="4">
        <v>0</v>
      </c>
      <c r="BJ80" s="4">
        <v>0</v>
      </c>
      <c r="BK80" s="4">
        <v>0</v>
      </c>
      <c r="BL80" s="4">
        <v>0</v>
      </c>
      <c r="BM80" s="4">
        <v>0</v>
      </c>
      <c r="BN80" s="4">
        <v>0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v>0</v>
      </c>
      <c r="BU80" s="4">
        <v>0</v>
      </c>
      <c r="BV80" s="4">
        <v>0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v>0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H80" s="33" t="s">
        <v>48</v>
      </c>
    </row>
    <row r="81" spans="4:138" ht="16.149999999999999" thickBot="1" x14ac:dyDescent="0.55000000000000004">
      <c r="D81" s="100">
        <v>37</v>
      </c>
      <c r="E81" s="98" t="s">
        <v>15</v>
      </c>
      <c r="F81" s="4">
        <v>4</v>
      </c>
      <c r="G81" s="4">
        <v>5</v>
      </c>
      <c r="H81" s="4">
        <v>6</v>
      </c>
      <c r="I81" s="4">
        <v>7</v>
      </c>
      <c r="J81" s="4">
        <v>8</v>
      </c>
      <c r="K81" s="4">
        <v>9</v>
      </c>
      <c r="L81" s="4">
        <v>10</v>
      </c>
      <c r="M81" s="4">
        <v>11</v>
      </c>
      <c r="N81" s="4">
        <v>12</v>
      </c>
      <c r="O81" s="4">
        <v>13</v>
      </c>
      <c r="P81" s="4">
        <v>14</v>
      </c>
      <c r="Q81" s="4">
        <v>15</v>
      </c>
      <c r="R81" s="4">
        <v>16</v>
      </c>
      <c r="S81" s="4">
        <v>17</v>
      </c>
      <c r="T81" s="4">
        <v>18</v>
      </c>
      <c r="U81" s="4">
        <v>19</v>
      </c>
      <c r="V81" s="4">
        <v>20</v>
      </c>
      <c r="W81" s="4">
        <v>21</v>
      </c>
      <c r="X81" s="4">
        <v>22</v>
      </c>
      <c r="Y81" s="4">
        <v>23</v>
      </c>
      <c r="Z81" s="4">
        <v>24</v>
      </c>
      <c r="AA81" s="4">
        <v>25</v>
      </c>
      <c r="AB81" s="4">
        <v>26</v>
      </c>
      <c r="AC81" s="4">
        <v>27</v>
      </c>
      <c r="AD81" s="4">
        <v>28</v>
      </c>
      <c r="AE81" s="4">
        <v>29</v>
      </c>
      <c r="AF81" s="4">
        <v>30</v>
      </c>
      <c r="AG81" s="4">
        <v>31</v>
      </c>
      <c r="AH81" s="4">
        <v>32</v>
      </c>
      <c r="AI81" s="4">
        <v>33</v>
      </c>
      <c r="AJ81" s="4">
        <v>34</v>
      </c>
      <c r="AK81" s="4">
        <v>35</v>
      </c>
      <c r="AL81" s="4">
        <v>36</v>
      </c>
      <c r="AM81" s="4">
        <v>0</v>
      </c>
      <c r="AN81" s="4">
        <v>0</v>
      </c>
      <c r="AO81" s="4">
        <v>0</v>
      </c>
      <c r="AP81" s="4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4">
        <v>0</v>
      </c>
      <c r="AW81" s="4">
        <v>0</v>
      </c>
      <c r="AX81" s="4">
        <v>0</v>
      </c>
      <c r="AY81" s="4">
        <v>0</v>
      </c>
      <c r="AZ81" s="4">
        <v>0</v>
      </c>
      <c r="BA81" s="4">
        <v>0</v>
      </c>
      <c r="BB81" s="4">
        <v>0</v>
      </c>
      <c r="BC81" s="4">
        <v>0</v>
      </c>
      <c r="BD81" s="4">
        <v>0</v>
      </c>
      <c r="BE81" s="4">
        <v>0</v>
      </c>
      <c r="BF81" s="4">
        <v>0</v>
      </c>
      <c r="BG81" s="4">
        <v>0</v>
      </c>
      <c r="BH81" s="4">
        <v>0</v>
      </c>
      <c r="BI81" s="4">
        <v>0</v>
      </c>
      <c r="BJ81" s="4">
        <v>0</v>
      </c>
      <c r="BK81" s="4">
        <v>0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R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H81" s="34" t="s">
        <v>51</v>
      </c>
    </row>
    <row r="82" spans="4:138" ht="16.5" thickTop="1" thickBot="1" x14ac:dyDescent="0.55000000000000004">
      <c r="D82" s="101"/>
      <c r="E82" s="99"/>
      <c r="F82" s="4">
        <v>3</v>
      </c>
      <c r="G82" s="4">
        <v>2</v>
      </c>
      <c r="H82" s="4">
        <v>1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0</v>
      </c>
      <c r="AR82" s="4">
        <v>0</v>
      </c>
      <c r="AS82" s="4">
        <v>0</v>
      </c>
      <c r="AT82" s="4">
        <v>0</v>
      </c>
      <c r="AU82" s="4">
        <v>0</v>
      </c>
      <c r="AV82" s="4">
        <v>0</v>
      </c>
      <c r="AW82" s="4">
        <v>0</v>
      </c>
      <c r="AX82" s="4">
        <v>0</v>
      </c>
      <c r="AY82" s="4">
        <v>0</v>
      </c>
      <c r="AZ82" s="4">
        <v>0</v>
      </c>
      <c r="BA82" s="4">
        <v>0</v>
      </c>
      <c r="BB82" s="4">
        <v>0</v>
      </c>
      <c r="BC82" s="4">
        <v>0</v>
      </c>
      <c r="BD82" s="4">
        <v>0</v>
      </c>
      <c r="BE82" s="4">
        <v>0</v>
      </c>
      <c r="BF82" s="4">
        <v>0</v>
      </c>
      <c r="BG82" s="4">
        <v>0</v>
      </c>
      <c r="BH82" s="4">
        <v>0</v>
      </c>
      <c r="BI82" s="4">
        <v>0</v>
      </c>
      <c r="BJ82" s="4">
        <v>0</v>
      </c>
      <c r="BK82" s="4">
        <v>0</v>
      </c>
      <c r="BL82" s="4">
        <v>0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R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H82" s="33" t="s">
        <v>48</v>
      </c>
    </row>
    <row r="83" spans="4:138" ht="16.149999999999999" thickBot="1" x14ac:dyDescent="0.55000000000000004">
      <c r="D83" s="100">
        <v>38</v>
      </c>
      <c r="E83" s="98" t="s">
        <v>15</v>
      </c>
      <c r="F83" s="4">
        <v>3</v>
      </c>
      <c r="G83" s="4">
        <v>4</v>
      </c>
      <c r="H83" s="4">
        <v>5</v>
      </c>
      <c r="I83" s="4">
        <v>6</v>
      </c>
      <c r="J83" s="4">
        <v>7</v>
      </c>
      <c r="K83" s="4">
        <v>8</v>
      </c>
      <c r="L83" s="4">
        <v>9</v>
      </c>
      <c r="M83" s="4">
        <v>10</v>
      </c>
      <c r="N83" s="4">
        <v>11</v>
      </c>
      <c r="O83" s="4">
        <v>12</v>
      </c>
      <c r="P83" s="4">
        <v>13</v>
      </c>
      <c r="Q83" s="4">
        <v>14</v>
      </c>
      <c r="R83" s="4">
        <v>15</v>
      </c>
      <c r="S83" s="4">
        <v>16</v>
      </c>
      <c r="T83" s="4">
        <v>17</v>
      </c>
      <c r="U83" s="4">
        <v>18</v>
      </c>
      <c r="V83" s="4">
        <v>19</v>
      </c>
      <c r="W83" s="4">
        <v>20</v>
      </c>
      <c r="X83" s="4">
        <v>21</v>
      </c>
      <c r="Y83" s="4">
        <v>22</v>
      </c>
      <c r="Z83" s="4">
        <v>23</v>
      </c>
      <c r="AA83" s="4">
        <v>24</v>
      </c>
      <c r="AB83" s="4">
        <v>25</v>
      </c>
      <c r="AC83" s="4">
        <v>26</v>
      </c>
      <c r="AD83" s="4">
        <v>27</v>
      </c>
      <c r="AE83" s="4">
        <v>28</v>
      </c>
      <c r="AF83" s="4">
        <v>29</v>
      </c>
      <c r="AG83" s="4">
        <v>30</v>
      </c>
      <c r="AH83" s="4">
        <v>31</v>
      </c>
      <c r="AI83" s="4">
        <v>32</v>
      </c>
      <c r="AJ83" s="4">
        <v>33</v>
      </c>
      <c r="AK83" s="4">
        <v>34</v>
      </c>
      <c r="AL83" s="4">
        <v>35</v>
      </c>
      <c r="AM83" s="4">
        <v>36</v>
      </c>
      <c r="AN83" s="4">
        <v>0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4">
        <v>0</v>
      </c>
      <c r="AW83" s="4">
        <v>0</v>
      </c>
      <c r="AX83" s="4">
        <v>0</v>
      </c>
      <c r="AY83" s="4">
        <v>0</v>
      </c>
      <c r="AZ83" s="4">
        <v>0</v>
      </c>
      <c r="BA83" s="4">
        <v>0</v>
      </c>
      <c r="BB83" s="4">
        <v>0</v>
      </c>
      <c r="BC83" s="4">
        <v>0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4">
        <v>0</v>
      </c>
      <c r="BJ83" s="4">
        <v>0</v>
      </c>
      <c r="BK83" s="4">
        <v>0</v>
      </c>
      <c r="BL83" s="4">
        <v>0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H83" s="34" t="s">
        <v>51</v>
      </c>
    </row>
    <row r="84" spans="4:138" ht="16.5" thickTop="1" thickBot="1" x14ac:dyDescent="0.55000000000000004">
      <c r="D84" s="101"/>
      <c r="E84" s="99"/>
      <c r="F84" s="4">
        <v>2</v>
      </c>
      <c r="G84" s="4">
        <v>1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4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4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4">
        <v>0</v>
      </c>
      <c r="BC84" s="4">
        <v>0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  <c r="BJ84" s="4">
        <v>0</v>
      </c>
      <c r="BK84" s="4">
        <v>0</v>
      </c>
      <c r="BL84" s="4">
        <v>0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H84" s="33" t="s">
        <v>48</v>
      </c>
    </row>
    <row r="85" spans="4:138" ht="16.149999999999999" thickBot="1" x14ac:dyDescent="0.55000000000000004">
      <c r="D85" s="100">
        <v>39</v>
      </c>
      <c r="E85" s="98" t="s">
        <v>15</v>
      </c>
      <c r="F85" s="4">
        <v>2</v>
      </c>
      <c r="G85" s="4">
        <v>3</v>
      </c>
      <c r="H85" s="4">
        <v>4</v>
      </c>
      <c r="I85" s="4">
        <v>5</v>
      </c>
      <c r="J85" s="4">
        <v>6</v>
      </c>
      <c r="K85" s="4">
        <v>7</v>
      </c>
      <c r="L85" s="4">
        <v>8</v>
      </c>
      <c r="M85" s="4">
        <v>9</v>
      </c>
      <c r="N85" s="4">
        <v>10</v>
      </c>
      <c r="O85" s="4">
        <v>11</v>
      </c>
      <c r="P85" s="4">
        <v>12</v>
      </c>
      <c r="Q85" s="4">
        <v>13</v>
      </c>
      <c r="R85" s="4">
        <v>14</v>
      </c>
      <c r="S85" s="4">
        <v>15</v>
      </c>
      <c r="T85" s="4">
        <v>16</v>
      </c>
      <c r="U85" s="4">
        <v>17</v>
      </c>
      <c r="V85" s="4">
        <v>18</v>
      </c>
      <c r="W85" s="4">
        <v>19</v>
      </c>
      <c r="X85" s="4">
        <v>20</v>
      </c>
      <c r="Y85" s="4">
        <v>21</v>
      </c>
      <c r="Z85" s="4">
        <v>22</v>
      </c>
      <c r="AA85" s="4">
        <v>23</v>
      </c>
      <c r="AB85" s="4">
        <v>24</v>
      </c>
      <c r="AC85" s="4">
        <v>25</v>
      </c>
      <c r="AD85" s="4">
        <v>26</v>
      </c>
      <c r="AE85" s="4">
        <v>27</v>
      </c>
      <c r="AF85" s="4">
        <v>28</v>
      </c>
      <c r="AG85" s="4">
        <v>29</v>
      </c>
      <c r="AH85" s="4">
        <v>30</v>
      </c>
      <c r="AI85" s="4">
        <v>31</v>
      </c>
      <c r="AJ85" s="4">
        <v>32</v>
      </c>
      <c r="AK85" s="4">
        <v>33</v>
      </c>
      <c r="AL85" s="4">
        <v>34</v>
      </c>
      <c r="AM85" s="4">
        <v>35</v>
      </c>
      <c r="AN85" s="4">
        <v>36</v>
      </c>
      <c r="AO85" s="4">
        <v>0</v>
      </c>
      <c r="AP85" s="4">
        <v>0</v>
      </c>
      <c r="AQ85" s="4">
        <v>0</v>
      </c>
      <c r="AR85" s="4">
        <v>0</v>
      </c>
      <c r="AS85" s="4">
        <v>0</v>
      </c>
      <c r="AT85" s="4">
        <v>0</v>
      </c>
      <c r="AU85" s="4">
        <v>0</v>
      </c>
      <c r="AV85" s="4">
        <v>0</v>
      </c>
      <c r="AW85" s="4">
        <v>0</v>
      </c>
      <c r="AX85" s="4">
        <v>0</v>
      </c>
      <c r="AY85" s="4">
        <v>0</v>
      </c>
      <c r="AZ85" s="4">
        <v>0</v>
      </c>
      <c r="BA85" s="4">
        <v>0</v>
      </c>
      <c r="BB85" s="4">
        <v>0</v>
      </c>
      <c r="BC85" s="4">
        <v>0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4">
        <v>0</v>
      </c>
      <c r="BJ85" s="4">
        <v>0</v>
      </c>
      <c r="BK85" s="4">
        <v>0</v>
      </c>
      <c r="BL85" s="4">
        <v>0</v>
      </c>
      <c r="BM85" s="4">
        <v>0</v>
      </c>
      <c r="BN85" s="4">
        <v>0</v>
      </c>
      <c r="BO85" s="4">
        <v>0</v>
      </c>
      <c r="BP85" s="4">
        <v>0</v>
      </c>
      <c r="BQ85" s="4">
        <v>0</v>
      </c>
      <c r="BR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4">
        <v>0</v>
      </c>
      <c r="BZ85" s="4">
        <v>0</v>
      </c>
      <c r="CA85" s="4">
        <v>0</v>
      </c>
      <c r="CB85" s="4">
        <v>0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H85" s="34" t="s">
        <v>51</v>
      </c>
    </row>
    <row r="86" spans="4:138" ht="16.5" thickTop="1" thickBot="1" x14ac:dyDescent="0.55000000000000004">
      <c r="D86" s="101"/>
      <c r="E86" s="99"/>
      <c r="F86" s="4">
        <v>1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0</v>
      </c>
      <c r="AN86" s="4">
        <v>0</v>
      </c>
      <c r="AO86" s="4">
        <v>0</v>
      </c>
      <c r="AP86" s="4">
        <v>0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>
        <v>0</v>
      </c>
      <c r="AW86" s="4">
        <v>0</v>
      </c>
      <c r="AX86" s="4">
        <v>0</v>
      </c>
      <c r="AY86" s="4">
        <v>0</v>
      </c>
      <c r="AZ86" s="4">
        <v>0</v>
      </c>
      <c r="BA86" s="4">
        <v>0</v>
      </c>
      <c r="BB86" s="4">
        <v>0</v>
      </c>
      <c r="BC86" s="4">
        <v>0</v>
      </c>
      <c r="BD86" s="4">
        <v>0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4">
        <v>0</v>
      </c>
      <c r="BK86" s="4">
        <v>0</v>
      </c>
      <c r="BL86" s="4">
        <v>0</v>
      </c>
      <c r="BM86" s="4">
        <v>0</v>
      </c>
      <c r="BN86" s="4">
        <v>0</v>
      </c>
      <c r="BO86" s="4">
        <v>0</v>
      </c>
      <c r="BP86" s="4">
        <v>0</v>
      </c>
      <c r="BQ86" s="4">
        <v>0</v>
      </c>
      <c r="BR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4">
        <v>0</v>
      </c>
      <c r="BY86" s="4">
        <v>0</v>
      </c>
      <c r="BZ86" s="4">
        <v>0</v>
      </c>
      <c r="CA86" s="4">
        <v>0</v>
      </c>
      <c r="CB86" s="4">
        <v>0</v>
      </c>
      <c r="CC86" s="4">
        <v>0</v>
      </c>
      <c r="CD86" s="4">
        <v>0</v>
      </c>
      <c r="CE86" s="4">
        <v>0</v>
      </c>
      <c r="CF86" s="4">
        <v>0</v>
      </c>
      <c r="CG86" s="4">
        <v>0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H86" s="33" t="s">
        <v>48</v>
      </c>
    </row>
    <row r="87" spans="4:138" ht="16.149999999999999" thickBot="1" x14ac:dyDescent="0.55000000000000004">
      <c r="D87" s="100">
        <v>40</v>
      </c>
      <c r="E87" s="98" t="s">
        <v>15</v>
      </c>
      <c r="F87" s="4">
        <v>1</v>
      </c>
      <c r="G87" s="4">
        <v>2</v>
      </c>
      <c r="H87" s="4">
        <v>3</v>
      </c>
      <c r="I87" s="4">
        <v>4</v>
      </c>
      <c r="J87" s="4">
        <v>5</v>
      </c>
      <c r="K87" s="4">
        <v>6</v>
      </c>
      <c r="L87" s="4">
        <v>7</v>
      </c>
      <c r="M87" s="4">
        <v>8</v>
      </c>
      <c r="N87" s="4">
        <v>9</v>
      </c>
      <c r="O87" s="4">
        <v>10</v>
      </c>
      <c r="P87" s="4">
        <v>11</v>
      </c>
      <c r="Q87" s="4">
        <v>12</v>
      </c>
      <c r="R87" s="4">
        <v>13</v>
      </c>
      <c r="S87" s="4">
        <v>14</v>
      </c>
      <c r="T87" s="4">
        <v>15</v>
      </c>
      <c r="U87" s="4">
        <v>16</v>
      </c>
      <c r="V87" s="4">
        <v>17</v>
      </c>
      <c r="W87" s="4">
        <v>18</v>
      </c>
      <c r="X87" s="4">
        <v>19</v>
      </c>
      <c r="Y87" s="4">
        <v>20</v>
      </c>
      <c r="Z87" s="4">
        <v>21</v>
      </c>
      <c r="AA87" s="4">
        <v>22</v>
      </c>
      <c r="AB87" s="4">
        <v>23</v>
      </c>
      <c r="AC87" s="4">
        <v>24</v>
      </c>
      <c r="AD87" s="4">
        <v>25</v>
      </c>
      <c r="AE87" s="4">
        <v>26</v>
      </c>
      <c r="AF87" s="4">
        <v>27</v>
      </c>
      <c r="AG87" s="4">
        <v>28</v>
      </c>
      <c r="AH87" s="4">
        <v>29</v>
      </c>
      <c r="AI87" s="4">
        <v>30</v>
      </c>
      <c r="AJ87" s="4">
        <v>31</v>
      </c>
      <c r="AK87" s="4">
        <v>32</v>
      </c>
      <c r="AL87" s="4">
        <v>33</v>
      </c>
      <c r="AM87" s="4">
        <v>34</v>
      </c>
      <c r="AN87" s="4">
        <v>35</v>
      </c>
      <c r="AO87" s="4">
        <v>36</v>
      </c>
      <c r="AP87" s="4">
        <v>0</v>
      </c>
      <c r="AQ87" s="4">
        <v>0</v>
      </c>
      <c r="AR87" s="4">
        <v>0</v>
      </c>
      <c r="AS87" s="4">
        <v>0</v>
      </c>
      <c r="AT87" s="4">
        <v>0</v>
      </c>
      <c r="AU87" s="4">
        <v>0</v>
      </c>
      <c r="AV87" s="4">
        <v>0</v>
      </c>
      <c r="AW87" s="4">
        <v>0</v>
      </c>
      <c r="AX87" s="4">
        <v>0</v>
      </c>
      <c r="AY87" s="4">
        <v>0</v>
      </c>
      <c r="AZ87" s="4">
        <v>0</v>
      </c>
      <c r="BA87" s="4">
        <v>0</v>
      </c>
      <c r="BB87" s="4">
        <v>0</v>
      </c>
      <c r="BC87" s="4">
        <v>0</v>
      </c>
      <c r="BD87" s="4">
        <v>0</v>
      </c>
      <c r="BE87" s="4">
        <v>0</v>
      </c>
      <c r="BF87" s="4">
        <v>0</v>
      </c>
      <c r="BG87" s="4">
        <v>0</v>
      </c>
      <c r="BH87" s="4">
        <v>0</v>
      </c>
      <c r="BI87" s="4">
        <v>0</v>
      </c>
      <c r="BJ87" s="4">
        <v>0</v>
      </c>
      <c r="BK87" s="4">
        <v>0</v>
      </c>
      <c r="BL87" s="4">
        <v>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R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H87" s="34" t="s">
        <v>51</v>
      </c>
    </row>
    <row r="88" spans="4:138" ht="16.5" thickTop="1" thickBot="1" x14ac:dyDescent="0.55000000000000004">
      <c r="D88" s="101"/>
      <c r="E88" s="99"/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4">
        <v>0</v>
      </c>
      <c r="AN88" s="4">
        <v>0</v>
      </c>
      <c r="AO88" s="4">
        <v>0</v>
      </c>
      <c r="AP88" s="4">
        <v>0</v>
      </c>
      <c r="AQ88" s="4">
        <v>0</v>
      </c>
      <c r="AR88" s="4">
        <v>0</v>
      </c>
      <c r="AS88" s="4">
        <v>0</v>
      </c>
      <c r="AT88" s="4">
        <v>0</v>
      </c>
      <c r="AU88" s="4">
        <v>0</v>
      </c>
      <c r="AV88" s="4">
        <v>0</v>
      </c>
      <c r="AW88" s="4">
        <v>0</v>
      </c>
      <c r="AX88" s="4">
        <v>0</v>
      </c>
      <c r="AY88" s="4">
        <v>0</v>
      </c>
      <c r="AZ88" s="4">
        <v>0</v>
      </c>
      <c r="BA88" s="4">
        <v>0</v>
      </c>
      <c r="BB88" s="4">
        <v>0</v>
      </c>
      <c r="BC88" s="4">
        <v>0</v>
      </c>
      <c r="BD88" s="4">
        <v>0</v>
      </c>
      <c r="BE88" s="4">
        <v>0</v>
      </c>
      <c r="BF88" s="4">
        <v>0</v>
      </c>
      <c r="BG88" s="4">
        <v>0</v>
      </c>
      <c r="BH88" s="4">
        <v>0</v>
      </c>
      <c r="BI88" s="4">
        <v>0</v>
      </c>
      <c r="BJ88" s="4">
        <v>0</v>
      </c>
      <c r="BK88" s="4">
        <v>0</v>
      </c>
      <c r="BL88" s="4">
        <v>0</v>
      </c>
      <c r="BM88" s="4">
        <v>0</v>
      </c>
      <c r="BN88" s="4">
        <v>0</v>
      </c>
      <c r="BO88" s="4">
        <v>0</v>
      </c>
      <c r="BP88" s="4">
        <v>0</v>
      </c>
      <c r="BQ88" s="4">
        <v>0</v>
      </c>
      <c r="BR88" s="4">
        <v>0</v>
      </c>
      <c r="BS88" s="4">
        <v>0</v>
      </c>
      <c r="BT88" s="4">
        <v>0</v>
      </c>
      <c r="BU88" s="4">
        <v>0</v>
      </c>
      <c r="BV88" s="4">
        <v>0</v>
      </c>
      <c r="BW88" s="4">
        <v>0</v>
      </c>
      <c r="BX88" s="4">
        <v>0</v>
      </c>
      <c r="BY88" s="4">
        <v>0</v>
      </c>
      <c r="BZ88" s="4">
        <v>0</v>
      </c>
      <c r="CA88" s="4">
        <v>0</v>
      </c>
      <c r="CB88" s="4">
        <v>0</v>
      </c>
      <c r="CC88" s="4">
        <v>0</v>
      </c>
      <c r="CD88" s="4">
        <v>0</v>
      </c>
      <c r="CE88" s="4">
        <v>0</v>
      </c>
      <c r="CF88" s="4">
        <v>0</v>
      </c>
      <c r="CG88" s="4">
        <v>0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4">
        <v>0</v>
      </c>
      <c r="DN88" s="4">
        <v>0</v>
      </c>
      <c r="DO88" s="4">
        <v>0</v>
      </c>
      <c r="DP88" s="4">
        <v>0</v>
      </c>
      <c r="DQ88" s="4">
        <v>0</v>
      </c>
      <c r="DR88" s="4">
        <v>0</v>
      </c>
      <c r="DS88" s="4">
        <v>0</v>
      </c>
      <c r="DT88" s="4">
        <v>0</v>
      </c>
      <c r="DU88" s="4">
        <v>0</v>
      </c>
      <c r="DV88" s="4">
        <v>0</v>
      </c>
      <c r="DW88" s="4">
        <v>0</v>
      </c>
      <c r="DX88" s="4">
        <v>0</v>
      </c>
      <c r="DY88" s="4">
        <v>0</v>
      </c>
      <c r="DZ88" s="4">
        <v>0</v>
      </c>
      <c r="EA88" s="4">
        <v>0</v>
      </c>
      <c r="EB88" s="4">
        <v>0</v>
      </c>
      <c r="EC88" s="4">
        <v>0</v>
      </c>
      <c r="EH88" s="33" t="s">
        <v>48</v>
      </c>
    </row>
    <row r="89" spans="4:138" ht="16.149999999999999" thickBot="1" x14ac:dyDescent="0.55000000000000004">
      <c r="D89" s="100"/>
      <c r="E89" s="98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H89" s="34" t="s">
        <v>51</v>
      </c>
    </row>
    <row r="90" spans="4:138" ht="16.5" thickTop="1" thickBot="1" x14ac:dyDescent="0.55000000000000004">
      <c r="D90" s="101"/>
      <c r="E90" s="99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H90" s="33" t="s">
        <v>48</v>
      </c>
    </row>
    <row r="91" spans="4:138" ht="16.149999999999999" thickBot="1" x14ac:dyDescent="0.55000000000000004">
      <c r="D91" s="100"/>
      <c r="E91" s="98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H91" s="34" t="s">
        <v>51</v>
      </c>
    </row>
    <row r="92" spans="4:138" ht="16.5" thickTop="1" thickBot="1" x14ac:dyDescent="0.55000000000000004">
      <c r="D92" s="101"/>
      <c r="E92" s="99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H92" s="33" t="s">
        <v>48</v>
      </c>
    </row>
    <row r="93" spans="4:138" ht="16.149999999999999" thickBot="1" x14ac:dyDescent="0.55000000000000004">
      <c r="D93" s="100"/>
      <c r="E93" s="98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H93" s="34" t="s">
        <v>51</v>
      </c>
    </row>
    <row r="94" spans="4:138" ht="16.5" thickTop="1" thickBot="1" x14ac:dyDescent="0.55000000000000004">
      <c r="D94" s="101"/>
      <c r="E94" s="99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H94" s="33" t="s">
        <v>48</v>
      </c>
    </row>
    <row r="95" spans="4:138" ht="16.149999999999999" thickBot="1" x14ac:dyDescent="0.55000000000000004">
      <c r="D95" s="100"/>
      <c r="E95" s="98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H95" s="34" t="s">
        <v>51</v>
      </c>
    </row>
    <row r="96" spans="4:138" ht="16.5" thickTop="1" thickBot="1" x14ac:dyDescent="0.55000000000000004">
      <c r="D96" s="101"/>
      <c r="E96" s="99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H96" s="33" t="s">
        <v>48</v>
      </c>
    </row>
    <row r="97" spans="4:138" ht="16.149999999999999" thickBot="1" x14ac:dyDescent="0.55000000000000004">
      <c r="D97" s="100"/>
      <c r="E97" s="98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H97" s="34" t="s">
        <v>51</v>
      </c>
    </row>
    <row r="98" spans="4:138" ht="16.5" thickTop="1" thickBot="1" x14ac:dyDescent="0.55000000000000004">
      <c r="D98" s="101"/>
      <c r="E98" s="99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H98" s="33" t="s">
        <v>48</v>
      </c>
    </row>
    <row r="99" spans="4:138" ht="16.149999999999999" thickBot="1" x14ac:dyDescent="0.55000000000000004">
      <c r="D99" s="100"/>
      <c r="E99" s="98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H99" s="34" t="s">
        <v>51</v>
      </c>
    </row>
    <row r="100" spans="4:138" ht="16.5" thickTop="1" thickBot="1" x14ac:dyDescent="0.55000000000000004">
      <c r="D100" s="101"/>
      <c r="E100" s="99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</row>
    <row r="101" spans="4:138" x14ac:dyDescent="0.5">
      <c r="D101" s="100"/>
      <c r="E101" s="98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</row>
    <row r="102" spans="4:138" ht="16.149999999999999" thickBot="1" x14ac:dyDescent="0.55000000000000004">
      <c r="D102" s="101"/>
      <c r="E102" s="99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</row>
    <row r="103" spans="4:138" x14ac:dyDescent="0.5">
      <c r="D103" s="100"/>
      <c r="E103" s="98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</row>
    <row r="104" spans="4:138" ht="16.149999999999999" thickBot="1" x14ac:dyDescent="0.55000000000000004">
      <c r="D104" s="101"/>
      <c r="E104" s="99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</row>
    <row r="105" spans="4:138" x14ac:dyDescent="0.5">
      <c r="D105" s="100"/>
      <c r="E105" s="98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</row>
    <row r="106" spans="4:138" ht="16.149999999999999" thickBot="1" x14ac:dyDescent="0.55000000000000004">
      <c r="D106" s="101"/>
      <c r="E106" s="99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</row>
    <row r="107" spans="4:138" x14ac:dyDescent="0.5">
      <c r="D107" s="100"/>
      <c r="E107" s="98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</row>
    <row r="108" spans="4:138" ht="16.149999999999999" thickBot="1" x14ac:dyDescent="0.55000000000000004">
      <c r="D108" s="101"/>
      <c r="E108" s="99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</row>
    <row r="109" spans="4:138" x14ac:dyDescent="0.5">
      <c r="D109" s="100"/>
      <c r="E109" s="98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</row>
    <row r="110" spans="4:138" ht="16.149999999999999" thickBot="1" x14ac:dyDescent="0.55000000000000004">
      <c r="D110" s="101"/>
      <c r="E110" s="99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</row>
    <row r="111" spans="4:138" x14ac:dyDescent="0.5">
      <c r="D111" s="100"/>
      <c r="E111" s="98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</row>
    <row r="112" spans="4:138" ht="16.149999999999999" thickBot="1" x14ac:dyDescent="0.55000000000000004">
      <c r="D112" s="101"/>
      <c r="E112" s="99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</row>
    <row r="113" spans="4:133" x14ac:dyDescent="0.5">
      <c r="D113" s="100"/>
      <c r="E113" s="98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</row>
    <row r="114" spans="4:133" ht="16.149999999999999" thickBot="1" x14ac:dyDescent="0.55000000000000004">
      <c r="D114" s="101"/>
      <c r="E114" s="99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</row>
    <row r="115" spans="4:133" x14ac:dyDescent="0.5">
      <c r="D115" s="100"/>
      <c r="E115" s="98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</row>
    <row r="116" spans="4:133" ht="16.149999999999999" thickBot="1" x14ac:dyDescent="0.55000000000000004">
      <c r="D116" s="101"/>
      <c r="E116" s="99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</row>
    <row r="117" spans="4:133" x14ac:dyDescent="0.5">
      <c r="D117" s="100"/>
      <c r="E117" s="98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</row>
    <row r="118" spans="4:133" ht="16.149999999999999" thickBot="1" x14ac:dyDescent="0.55000000000000004">
      <c r="D118" s="101"/>
      <c r="E118" s="99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</row>
    <row r="119" spans="4:133" x14ac:dyDescent="0.5">
      <c r="D119" s="100"/>
      <c r="E119" s="98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</row>
    <row r="120" spans="4:133" ht="16.149999999999999" thickBot="1" x14ac:dyDescent="0.55000000000000004">
      <c r="D120" s="101"/>
      <c r="E120" s="99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</row>
    <row r="121" spans="4:133" x14ac:dyDescent="0.5">
      <c r="D121" s="100"/>
      <c r="E121" s="98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</row>
    <row r="122" spans="4:133" ht="16.149999999999999" thickBot="1" x14ac:dyDescent="0.55000000000000004">
      <c r="D122" s="101"/>
      <c r="E122" s="99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</row>
    <row r="123" spans="4:133" x14ac:dyDescent="0.5">
      <c r="D123" s="100"/>
      <c r="E123" s="98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</row>
    <row r="124" spans="4:133" ht="16.149999999999999" thickBot="1" x14ac:dyDescent="0.55000000000000004">
      <c r="D124" s="101"/>
      <c r="E124" s="99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</row>
    <row r="125" spans="4:133" x14ac:dyDescent="0.5">
      <c r="D125" s="100"/>
      <c r="E125" s="98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</row>
    <row r="126" spans="4:133" ht="16.149999999999999" thickBot="1" x14ac:dyDescent="0.55000000000000004">
      <c r="D126" s="101"/>
      <c r="E126" s="99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</row>
    <row r="127" spans="4:133" x14ac:dyDescent="0.5">
      <c r="D127" s="100"/>
      <c r="E127" s="98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</row>
    <row r="128" spans="4:133" ht="16.149999999999999" thickBot="1" x14ac:dyDescent="0.55000000000000004">
      <c r="D128" s="101"/>
      <c r="E128" s="99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</row>
    <row r="129" spans="4:133" x14ac:dyDescent="0.5">
      <c r="D129" s="100"/>
      <c r="E129" s="98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</row>
    <row r="130" spans="4:133" ht="16.149999999999999" thickBot="1" x14ac:dyDescent="0.55000000000000004">
      <c r="D130" s="101"/>
      <c r="E130" s="99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</row>
    <row r="131" spans="4:133" x14ac:dyDescent="0.5">
      <c r="D131" s="100"/>
      <c r="E131" s="98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</row>
    <row r="132" spans="4:133" ht="16.149999999999999" thickBot="1" x14ac:dyDescent="0.55000000000000004">
      <c r="D132" s="101"/>
      <c r="E132" s="99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</row>
    <row r="133" spans="4:133" x14ac:dyDescent="0.5">
      <c r="D133" s="100"/>
      <c r="E133" s="98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</row>
    <row r="134" spans="4:133" ht="16.149999999999999" thickBot="1" x14ac:dyDescent="0.55000000000000004">
      <c r="D134" s="101"/>
      <c r="E134" s="99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</row>
    <row r="135" spans="4:133" x14ac:dyDescent="0.5">
      <c r="D135" s="100"/>
      <c r="E135" s="98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</row>
    <row r="136" spans="4:133" ht="16.149999999999999" thickBot="1" x14ac:dyDescent="0.55000000000000004">
      <c r="D136" s="101"/>
      <c r="E136" s="99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</row>
    <row r="137" spans="4:133" x14ac:dyDescent="0.5">
      <c r="D137" s="100"/>
      <c r="E137" s="98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</row>
    <row r="138" spans="4:133" ht="16.149999999999999" thickBot="1" x14ac:dyDescent="0.55000000000000004">
      <c r="D138" s="101"/>
      <c r="E138" s="99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</row>
    <row r="139" spans="4:133" x14ac:dyDescent="0.5">
      <c r="D139" s="100"/>
      <c r="E139" s="98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</row>
    <row r="140" spans="4:133" ht="16.149999999999999" thickBot="1" x14ac:dyDescent="0.55000000000000004">
      <c r="D140" s="101"/>
      <c r="E140" s="99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</row>
    <row r="141" spans="4:133" x14ac:dyDescent="0.5">
      <c r="D141" s="100"/>
      <c r="E141" s="98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</row>
    <row r="142" spans="4:133" ht="16.149999999999999" thickBot="1" x14ac:dyDescent="0.55000000000000004">
      <c r="D142" s="101"/>
      <c r="E142" s="99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</row>
    <row r="143" spans="4:133" x14ac:dyDescent="0.5">
      <c r="D143" s="100"/>
      <c r="E143" s="98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</row>
    <row r="144" spans="4:133" ht="16.149999999999999" thickBot="1" x14ac:dyDescent="0.55000000000000004">
      <c r="D144" s="101"/>
      <c r="E144" s="99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</row>
    <row r="145" spans="4:133" x14ac:dyDescent="0.5">
      <c r="D145" s="100"/>
      <c r="E145" s="98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</row>
    <row r="146" spans="4:133" ht="16.149999999999999" thickBot="1" x14ac:dyDescent="0.55000000000000004">
      <c r="D146" s="101"/>
      <c r="E146" s="99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</row>
    <row r="147" spans="4:133" x14ac:dyDescent="0.5">
      <c r="D147" s="100"/>
      <c r="E147" s="98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</row>
    <row r="148" spans="4:133" ht="16.149999999999999" thickBot="1" x14ac:dyDescent="0.55000000000000004">
      <c r="D148" s="101"/>
      <c r="E148" s="99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</row>
    <row r="149" spans="4:133" x14ac:dyDescent="0.5">
      <c r="D149" s="100"/>
      <c r="E149" s="98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</row>
    <row r="150" spans="4:133" ht="16.149999999999999" thickBot="1" x14ac:dyDescent="0.55000000000000004">
      <c r="D150" s="101"/>
      <c r="E150" s="99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</row>
    <row r="151" spans="4:133" x14ac:dyDescent="0.5">
      <c r="D151" s="100"/>
      <c r="E151" s="98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</row>
    <row r="152" spans="4:133" ht="16.149999999999999" thickBot="1" x14ac:dyDescent="0.55000000000000004">
      <c r="D152" s="101"/>
      <c r="E152" s="99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</row>
    <row r="153" spans="4:133" x14ac:dyDescent="0.5">
      <c r="D153" s="100"/>
      <c r="E153" s="98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</row>
    <row r="154" spans="4:133" ht="16.149999999999999" thickBot="1" x14ac:dyDescent="0.55000000000000004">
      <c r="D154" s="101"/>
      <c r="E154" s="99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</row>
    <row r="155" spans="4:133" x14ac:dyDescent="0.5">
      <c r="D155" s="100"/>
      <c r="E155" s="98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</row>
    <row r="156" spans="4:133" ht="16.149999999999999" thickBot="1" x14ac:dyDescent="0.55000000000000004">
      <c r="D156" s="101"/>
      <c r="E156" s="99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</row>
    <row r="157" spans="4:133" x14ac:dyDescent="0.5">
      <c r="D157" s="100"/>
      <c r="E157" s="98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</row>
    <row r="158" spans="4:133" ht="16.149999999999999" thickBot="1" x14ac:dyDescent="0.55000000000000004">
      <c r="D158" s="101"/>
      <c r="E158" s="99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</row>
    <row r="159" spans="4:133" x14ac:dyDescent="0.5">
      <c r="D159" s="100"/>
      <c r="E159" s="98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</row>
    <row r="160" spans="4:133" ht="16.149999999999999" thickBot="1" x14ac:dyDescent="0.55000000000000004">
      <c r="D160" s="101"/>
      <c r="E160" s="99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</row>
    <row r="161" spans="4:133" x14ac:dyDescent="0.5">
      <c r="D161" s="100"/>
      <c r="E161" s="98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</row>
    <row r="162" spans="4:133" ht="16.149999999999999" thickBot="1" x14ac:dyDescent="0.55000000000000004">
      <c r="D162" s="101"/>
      <c r="E162" s="99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</row>
    <row r="163" spans="4:133" x14ac:dyDescent="0.5">
      <c r="D163" s="100"/>
      <c r="E163" s="98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</row>
    <row r="164" spans="4:133" ht="16.149999999999999" thickBot="1" x14ac:dyDescent="0.55000000000000004">
      <c r="D164" s="101"/>
      <c r="E164" s="99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</row>
    <row r="165" spans="4:133" x14ac:dyDescent="0.5">
      <c r="D165" s="100"/>
      <c r="E165" s="98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</row>
    <row r="166" spans="4:133" ht="16.149999999999999" thickBot="1" x14ac:dyDescent="0.55000000000000004">
      <c r="D166" s="101"/>
      <c r="E166" s="99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</row>
    <row r="167" spans="4:133" x14ac:dyDescent="0.5">
      <c r="D167" s="100"/>
      <c r="E167" s="98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</row>
    <row r="168" spans="4:133" ht="16.149999999999999" thickBot="1" x14ac:dyDescent="0.55000000000000004">
      <c r="D168" s="101"/>
      <c r="E168" s="99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</row>
    <row r="169" spans="4:133" x14ac:dyDescent="0.5">
      <c r="D169" s="100"/>
      <c r="E169" s="98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</row>
    <row r="170" spans="4:133" ht="16.149999999999999" thickBot="1" x14ac:dyDescent="0.55000000000000004">
      <c r="D170" s="101"/>
      <c r="E170" s="99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</row>
    <row r="171" spans="4:133" x14ac:dyDescent="0.5">
      <c r="D171" s="100"/>
      <c r="E171" s="98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</row>
    <row r="172" spans="4:133" ht="16.149999999999999" thickBot="1" x14ac:dyDescent="0.55000000000000004">
      <c r="D172" s="101"/>
      <c r="E172" s="99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</row>
    <row r="173" spans="4:133" x14ac:dyDescent="0.5">
      <c r="D173" s="100"/>
      <c r="E173" s="98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</row>
    <row r="174" spans="4:133" ht="16.149999999999999" thickBot="1" x14ac:dyDescent="0.55000000000000004">
      <c r="D174" s="101"/>
      <c r="E174" s="99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</row>
    <row r="175" spans="4:133" x14ac:dyDescent="0.5">
      <c r="D175" s="100"/>
      <c r="E175" s="98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</row>
    <row r="176" spans="4:133" ht="16.149999999999999" thickBot="1" x14ac:dyDescent="0.55000000000000004">
      <c r="D176" s="101"/>
      <c r="E176" s="99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</row>
    <row r="177" spans="4:133" x14ac:dyDescent="0.5">
      <c r="D177" s="100"/>
      <c r="E177" s="98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</row>
    <row r="178" spans="4:133" ht="16.149999999999999" thickBot="1" x14ac:dyDescent="0.55000000000000004">
      <c r="D178" s="101"/>
      <c r="E178" s="99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</row>
    <row r="179" spans="4:133" x14ac:dyDescent="0.5">
      <c r="D179" s="100"/>
      <c r="E179" s="98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</row>
    <row r="180" spans="4:133" ht="16.149999999999999" thickBot="1" x14ac:dyDescent="0.55000000000000004">
      <c r="D180" s="101"/>
      <c r="E180" s="99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</row>
    <row r="181" spans="4:133" x14ac:dyDescent="0.5">
      <c r="D181" s="100"/>
      <c r="E181" s="98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</row>
    <row r="182" spans="4:133" ht="16.149999999999999" thickBot="1" x14ac:dyDescent="0.55000000000000004">
      <c r="D182" s="101"/>
      <c r="E182" s="99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</row>
    <row r="183" spans="4:133" x14ac:dyDescent="0.5">
      <c r="D183" s="100"/>
      <c r="E183" s="98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</row>
    <row r="184" spans="4:133" ht="16.149999999999999" thickBot="1" x14ac:dyDescent="0.55000000000000004">
      <c r="D184" s="101"/>
      <c r="E184" s="99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</row>
    <row r="185" spans="4:133" x14ac:dyDescent="0.5">
      <c r="D185" s="100"/>
      <c r="E185" s="98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</row>
    <row r="186" spans="4:133" ht="16.149999999999999" thickBot="1" x14ac:dyDescent="0.55000000000000004">
      <c r="D186" s="101"/>
      <c r="E186" s="99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</row>
    <row r="187" spans="4:133" x14ac:dyDescent="0.5">
      <c r="D187" s="100"/>
      <c r="E187" s="98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</row>
    <row r="188" spans="4:133" ht="16.149999999999999" thickBot="1" x14ac:dyDescent="0.55000000000000004">
      <c r="D188" s="101"/>
      <c r="E188" s="9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</row>
    <row r="189" spans="4:133" x14ac:dyDescent="0.5">
      <c r="D189" s="100"/>
      <c r="E189" s="98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</row>
    <row r="190" spans="4:133" ht="16.149999999999999" thickBot="1" x14ac:dyDescent="0.55000000000000004">
      <c r="D190" s="101"/>
      <c r="E190" s="9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</row>
    <row r="191" spans="4:133" x14ac:dyDescent="0.5">
      <c r="D191" s="100"/>
      <c r="E191" s="98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</row>
    <row r="192" spans="4:133" ht="16.149999999999999" thickBot="1" x14ac:dyDescent="0.55000000000000004">
      <c r="D192" s="101"/>
      <c r="E192" s="9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</row>
    <row r="193" spans="4:133" x14ac:dyDescent="0.5">
      <c r="D193" s="100"/>
      <c r="E193" s="98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</row>
    <row r="194" spans="4:133" ht="16.149999999999999" thickBot="1" x14ac:dyDescent="0.55000000000000004">
      <c r="D194" s="101"/>
      <c r="E194" s="9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</row>
    <row r="195" spans="4:133" x14ac:dyDescent="0.5">
      <c r="D195" s="100"/>
      <c r="E195" s="98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</row>
    <row r="196" spans="4:133" ht="16.149999999999999" thickBot="1" x14ac:dyDescent="0.55000000000000004">
      <c r="D196" s="101"/>
      <c r="E196" s="9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</row>
    <row r="197" spans="4:133" x14ac:dyDescent="0.5">
      <c r="D197" s="100"/>
      <c r="E197" s="98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</row>
    <row r="198" spans="4:133" ht="16.149999999999999" thickBot="1" x14ac:dyDescent="0.55000000000000004">
      <c r="D198" s="101"/>
      <c r="E198" s="9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</row>
    <row r="199" spans="4:133" x14ac:dyDescent="0.5">
      <c r="D199" s="100"/>
      <c r="E199" s="98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</row>
    <row r="200" spans="4:133" ht="16.149999999999999" thickBot="1" x14ac:dyDescent="0.55000000000000004">
      <c r="D200" s="101"/>
      <c r="E200" s="9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</row>
    <row r="201" spans="4:133" x14ac:dyDescent="0.5">
      <c r="D201" s="100"/>
      <c r="E201" s="98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</row>
    <row r="202" spans="4:133" ht="16.149999999999999" thickBot="1" x14ac:dyDescent="0.55000000000000004">
      <c r="D202" s="101"/>
      <c r="E202" s="9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</row>
    <row r="203" spans="4:133" x14ac:dyDescent="0.5">
      <c r="D203" s="100"/>
      <c r="E203" s="98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</row>
    <row r="204" spans="4:133" ht="16.149999999999999" thickBot="1" x14ac:dyDescent="0.55000000000000004">
      <c r="D204" s="101"/>
      <c r="E204" s="9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</row>
    <row r="205" spans="4:133" x14ac:dyDescent="0.5">
      <c r="D205" s="100"/>
      <c r="E205" s="98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</row>
    <row r="206" spans="4:133" ht="16.149999999999999" thickBot="1" x14ac:dyDescent="0.55000000000000004">
      <c r="D206" s="101"/>
      <c r="E206" s="9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</row>
    <row r="207" spans="4:133" x14ac:dyDescent="0.5">
      <c r="D207" s="100"/>
      <c r="E207" s="98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</row>
    <row r="208" spans="4:133" ht="16.149999999999999" thickBot="1" x14ac:dyDescent="0.55000000000000004">
      <c r="D208" s="101"/>
      <c r="E208" s="99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</row>
    <row r="209" spans="4:133" x14ac:dyDescent="0.5">
      <c r="D209" s="100"/>
      <c r="E209" s="98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</row>
    <row r="210" spans="4:133" ht="16.149999999999999" thickBot="1" x14ac:dyDescent="0.55000000000000004">
      <c r="D210" s="101"/>
      <c r="E210" s="99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</row>
    <row r="211" spans="4:133" x14ac:dyDescent="0.5">
      <c r="D211" s="100"/>
      <c r="E211" s="98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</row>
    <row r="212" spans="4:133" ht="16.149999999999999" thickBot="1" x14ac:dyDescent="0.55000000000000004">
      <c r="D212" s="101"/>
      <c r="E212" s="99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</row>
    <row r="213" spans="4:133" x14ac:dyDescent="0.5">
      <c r="D213" s="100"/>
      <c r="E213" s="98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</row>
    <row r="214" spans="4:133" ht="16.149999999999999" thickBot="1" x14ac:dyDescent="0.55000000000000004">
      <c r="D214" s="101"/>
      <c r="E214" s="99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</row>
    <row r="215" spans="4:133" x14ac:dyDescent="0.5">
      <c r="D215" s="100"/>
      <c r="E215" s="98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</row>
    <row r="216" spans="4:133" ht="16.149999999999999" thickBot="1" x14ac:dyDescent="0.55000000000000004">
      <c r="D216" s="101"/>
      <c r="E216" s="99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</row>
    <row r="217" spans="4:133" x14ac:dyDescent="0.5">
      <c r="D217" s="100"/>
      <c r="E217" s="98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</row>
    <row r="218" spans="4:133" ht="16.149999999999999" thickBot="1" x14ac:dyDescent="0.55000000000000004">
      <c r="D218" s="101"/>
      <c r="E218" s="99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</row>
    <row r="219" spans="4:133" x14ac:dyDescent="0.5">
      <c r="D219" s="100"/>
      <c r="E219" s="98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</row>
    <row r="220" spans="4:133" ht="16.149999999999999" thickBot="1" x14ac:dyDescent="0.55000000000000004">
      <c r="D220" s="101"/>
      <c r="E220" s="99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</row>
    <row r="221" spans="4:133" x14ac:dyDescent="0.5">
      <c r="D221" s="100"/>
      <c r="E221" s="98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</row>
    <row r="222" spans="4:133" ht="16.149999999999999" thickBot="1" x14ac:dyDescent="0.55000000000000004">
      <c r="D222" s="101"/>
      <c r="E222" s="99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</row>
    <row r="223" spans="4:133" x14ac:dyDescent="0.5">
      <c r="D223" s="100"/>
      <c r="E223" s="98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</row>
    <row r="224" spans="4:133" ht="16.149999999999999" thickBot="1" x14ac:dyDescent="0.55000000000000004">
      <c r="D224" s="101"/>
      <c r="E224" s="99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</row>
    <row r="225" spans="4:133" x14ac:dyDescent="0.5">
      <c r="D225" s="100"/>
      <c r="E225" s="98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</row>
    <row r="226" spans="4:133" ht="16.149999999999999" thickBot="1" x14ac:dyDescent="0.55000000000000004">
      <c r="D226" s="101"/>
      <c r="E226" s="99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</row>
    <row r="227" spans="4:133" x14ac:dyDescent="0.5">
      <c r="D227" s="100"/>
      <c r="E227" s="98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</row>
    <row r="228" spans="4:133" ht="16.149999999999999" thickBot="1" x14ac:dyDescent="0.55000000000000004">
      <c r="D228" s="101"/>
      <c r="E228" s="99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</row>
    <row r="229" spans="4:133" x14ac:dyDescent="0.5">
      <c r="D229" s="100"/>
      <c r="E229" s="98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</row>
    <row r="230" spans="4:133" ht="16.149999999999999" thickBot="1" x14ac:dyDescent="0.55000000000000004">
      <c r="D230" s="101"/>
      <c r="E230" s="99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</row>
    <row r="231" spans="4:133" x14ac:dyDescent="0.5">
      <c r="D231" s="100"/>
      <c r="E231" s="98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</row>
    <row r="232" spans="4:133" ht="16.149999999999999" thickBot="1" x14ac:dyDescent="0.55000000000000004">
      <c r="D232" s="101"/>
      <c r="E232" s="99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</row>
    <row r="233" spans="4:133" x14ac:dyDescent="0.5">
      <c r="D233" s="100"/>
      <c r="E233" s="98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</row>
    <row r="234" spans="4:133" ht="16.149999999999999" thickBot="1" x14ac:dyDescent="0.55000000000000004">
      <c r="D234" s="101"/>
      <c r="E234" s="99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</row>
    <row r="235" spans="4:133" x14ac:dyDescent="0.5">
      <c r="D235" s="100"/>
      <c r="E235" s="98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</row>
    <row r="236" spans="4:133" ht="16.149999999999999" thickBot="1" x14ac:dyDescent="0.55000000000000004">
      <c r="D236" s="101"/>
      <c r="E236" s="99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</row>
    <row r="237" spans="4:133" x14ac:dyDescent="0.5">
      <c r="D237" s="100"/>
      <c r="E237" s="98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</row>
    <row r="238" spans="4:133" ht="16.149999999999999" thickBot="1" x14ac:dyDescent="0.55000000000000004">
      <c r="D238" s="101"/>
      <c r="E238" s="99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</row>
    <row r="239" spans="4:133" x14ac:dyDescent="0.5">
      <c r="D239" s="100"/>
      <c r="E239" s="98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</row>
    <row r="240" spans="4:133" ht="16.149999999999999" thickBot="1" x14ac:dyDescent="0.55000000000000004">
      <c r="D240" s="101"/>
      <c r="E240" s="99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</row>
    <row r="241" spans="4:133" x14ac:dyDescent="0.5">
      <c r="D241" s="100"/>
      <c r="E241" s="98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</row>
    <row r="242" spans="4:133" ht="16.149999999999999" thickBot="1" x14ac:dyDescent="0.55000000000000004">
      <c r="D242" s="101"/>
      <c r="E242" s="99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</row>
    <row r="243" spans="4:133" x14ac:dyDescent="0.5">
      <c r="D243" s="100"/>
      <c r="E243" s="98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</row>
    <row r="244" spans="4:133" ht="16.149999999999999" thickBot="1" x14ac:dyDescent="0.55000000000000004">
      <c r="D244" s="101"/>
      <c r="E244" s="99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</row>
    <row r="245" spans="4:133" x14ac:dyDescent="0.5">
      <c r="D245" s="100"/>
      <c r="E245" s="98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</row>
    <row r="246" spans="4:133" ht="16.149999999999999" thickBot="1" x14ac:dyDescent="0.55000000000000004">
      <c r="D246" s="101"/>
      <c r="E246" s="99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</row>
    <row r="247" spans="4:133" x14ac:dyDescent="0.5">
      <c r="D247" s="100"/>
      <c r="E247" s="98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</row>
    <row r="248" spans="4:133" ht="16.149999999999999" thickBot="1" x14ac:dyDescent="0.55000000000000004">
      <c r="D248" s="101"/>
      <c r="E248" s="99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</row>
    <row r="249" spans="4:133" x14ac:dyDescent="0.5">
      <c r="D249" s="100"/>
      <c r="E249" s="98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</row>
    <row r="250" spans="4:133" ht="16.149999999999999" thickBot="1" x14ac:dyDescent="0.55000000000000004">
      <c r="D250" s="101"/>
      <c r="E250" s="99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</row>
    <row r="251" spans="4:133" x14ac:dyDescent="0.5">
      <c r="D251" s="100"/>
      <c r="E251" s="98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</row>
    <row r="252" spans="4:133" ht="16.149999999999999" thickBot="1" x14ac:dyDescent="0.55000000000000004">
      <c r="D252" s="101"/>
      <c r="E252" s="99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</row>
    <row r="253" spans="4:133" x14ac:dyDescent="0.5">
      <c r="D253" s="100"/>
      <c r="E253" s="98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</row>
    <row r="254" spans="4:133" ht="16.149999999999999" thickBot="1" x14ac:dyDescent="0.55000000000000004">
      <c r="D254" s="101"/>
      <c r="E254" s="99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</row>
    <row r="255" spans="4:133" x14ac:dyDescent="0.5">
      <c r="D255" s="100"/>
      <c r="E255" s="98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</row>
    <row r="256" spans="4:133" ht="16.149999999999999" thickBot="1" x14ac:dyDescent="0.55000000000000004">
      <c r="D256" s="101"/>
      <c r="E256" s="99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</row>
    <row r="257" spans="4:133" x14ac:dyDescent="0.5">
      <c r="D257" s="100"/>
      <c r="E257" s="98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</row>
    <row r="258" spans="4:133" ht="16.149999999999999" thickBot="1" x14ac:dyDescent="0.55000000000000004">
      <c r="D258" s="101"/>
      <c r="E258" s="99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</row>
    <row r="259" spans="4:133" x14ac:dyDescent="0.5">
      <c r="D259" s="100"/>
      <c r="E259" s="98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</row>
    <row r="260" spans="4:133" ht="16.149999999999999" thickBot="1" x14ac:dyDescent="0.55000000000000004">
      <c r="D260" s="101"/>
      <c r="E260" s="99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</row>
    <row r="261" spans="4:133" x14ac:dyDescent="0.5">
      <c r="D261" s="100"/>
      <c r="E261" s="98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</row>
    <row r="262" spans="4:133" ht="16.149999999999999" thickBot="1" x14ac:dyDescent="0.55000000000000004">
      <c r="D262" s="101"/>
      <c r="E262" s="99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</row>
    <row r="263" spans="4:133" x14ac:dyDescent="0.5">
      <c r="D263" s="100"/>
      <c r="E263" s="98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</row>
    <row r="264" spans="4:133" ht="16.149999999999999" thickBot="1" x14ac:dyDescent="0.55000000000000004">
      <c r="D264" s="101"/>
      <c r="E264" s="99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</row>
    <row r="265" spans="4:133" x14ac:dyDescent="0.5">
      <c r="D265" s="100"/>
      <c r="E265" s="98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</row>
    <row r="266" spans="4:133" ht="16.149999999999999" thickBot="1" x14ac:dyDescent="0.55000000000000004">
      <c r="D266" s="101"/>
      <c r="E266" s="99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</row>
    <row r="267" spans="4:133" x14ac:dyDescent="0.5">
      <c r="D267" s="100"/>
      <c r="E267" s="98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</row>
    <row r="268" spans="4:133" ht="16.149999999999999" thickBot="1" x14ac:dyDescent="0.55000000000000004">
      <c r="D268" s="101"/>
      <c r="E268" s="99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</row>
    <row r="269" spans="4:133" x14ac:dyDescent="0.5">
      <c r="D269" s="100"/>
      <c r="E269" s="98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</row>
    <row r="270" spans="4:133" ht="16.149999999999999" thickBot="1" x14ac:dyDescent="0.55000000000000004">
      <c r="D270" s="101"/>
      <c r="E270" s="99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</row>
    <row r="271" spans="4:133" x14ac:dyDescent="0.5">
      <c r="D271" s="100"/>
      <c r="E271" s="98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</row>
    <row r="272" spans="4:133" ht="16.149999999999999" thickBot="1" x14ac:dyDescent="0.55000000000000004">
      <c r="D272" s="101"/>
      <c r="E272" s="99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</row>
    <row r="273" spans="4:133" x14ac:dyDescent="0.5">
      <c r="D273" s="100"/>
      <c r="E273" s="98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</row>
    <row r="274" spans="4:133" ht="16.149999999999999" thickBot="1" x14ac:dyDescent="0.55000000000000004">
      <c r="D274" s="101"/>
      <c r="E274" s="99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</row>
    <row r="275" spans="4:133" x14ac:dyDescent="0.5">
      <c r="D275" s="100"/>
      <c r="E275" s="98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</row>
    <row r="276" spans="4:133" ht="16.149999999999999" thickBot="1" x14ac:dyDescent="0.55000000000000004">
      <c r="D276" s="101"/>
      <c r="E276" s="99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</row>
    <row r="277" spans="4:133" x14ac:dyDescent="0.5">
      <c r="D277" s="100"/>
      <c r="E277" s="98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</row>
    <row r="278" spans="4:133" ht="16.149999999999999" thickBot="1" x14ac:dyDescent="0.55000000000000004">
      <c r="D278" s="101"/>
      <c r="E278" s="99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</row>
    <row r="279" spans="4:133" x14ac:dyDescent="0.5">
      <c r="D279" s="100"/>
      <c r="E279" s="98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</row>
    <row r="280" spans="4:133" ht="16.149999999999999" thickBot="1" x14ac:dyDescent="0.55000000000000004">
      <c r="D280" s="101"/>
      <c r="E280" s="99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</row>
    <row r="281" spans="4:133" x14ac:dyDescent="0.5">
      <c r="D281" s="100"/>
      <c r="E281" s="98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</row>
    <row r="282" spans="4:133" ht="16.149999999999999" thickBot="1" x14ac:dyDescent="0.55000000000000004">
      <c r="D282" s="101"/>
      <c r="E282" s="99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</row>
    <row r="283" spans="4:133" x14ac:dyDescent="0.5">
      <c r="D283" s="100"/>
      <c r="E283" s="98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</row>
    <row r="284" spans="4:133" ht="16.149999999999999" thickBot="1" x14ac:dyDescent="0.55000000000000004">
      <c r="D284" s="101"/>
      <c r="E284" s="99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</row>
    <row r="285" spans="4:133" x14ac:dyDescent="0.5">
      <c r="D285" s="100"/>
      <c r="E285" s="98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</row>
    <row r="286" spans="4:133" ht="16.149999999999999" thickBot="1" x14ac:dyDescent="0.55000000000000004">
      <c r="D286" s="101"/>
      <c r="E286" s="99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</row>
    <row r="287" spans="4:133" x14ac:dyDescent="0.5">
      <c r="D287" s="100"/>
      <c r="E287" s="98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</row>
    <row r="288" spans="4:133" ht="16.149999999999999" thickBot="1" x14ac:dyDescent="0.55000000000000004">
      <c r="D288" s="101"/>
      <c r="E288" s="99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</row>
    <row r="289" spans="4:133" x14ac:dyDescent="0.5">
      <c r="D289" s="100"/>
      <c r="E289" s="98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</row>
    <row r="290" spans="4:133" ht="16.149999999999999" thickBot="1" x14ac:dyDescent="0.55000000000000004">
      <c r="D290" s="101"/>
      <c r="E290" s="99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</row>
    <row r="291" spans="4:133" x14ac:dyDescent="0.5">
      <c r="D291" s="100"/>
      <c r="E291" s="98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</row>
    <row r="292" spans="4:133" ht="16.149999999999999" thickBot="1" x14ac:dyDescent="0.55000000000000004">
      <c r="D292" s="101"/>
      <c r="E292" s="99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</row>
    <row r="293" spans="4:133" x14ac:dyDescent="0.5">
      <c r="D293" s="100"/>
      <c r="E293" s="98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</row>
    <row r="294" spans="4:133" ht="16.149999999999999" thickBot="1" x14ac:dyDescent="0.55000000000000004">
      <c r="D294" s="101"/>
      <c r="E294" s="99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</row>
    <row r="295" spans="4:133" x14ac:dyDescent="0.5">
      <c r="D295" s="100"/>
      <c r="E295" s="98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</row>
    <row r="296" spans="4:133" ht="16.149999999999999" thickBot="1" x14ac:dyDescent="0.55000000000000004">
      <c r="D296" s="101"/>
      <c r="E296" s="99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</row>
    <row r="297" spans="4:133" x14ac:dyDescent="0.5">
      <c r="D297" s="100"/>
      <c r="E297" s="98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</row>
    <row r="298" spans="4:133" ht="16.149999999999999" thickBot="1" x14ac:dyDescent="0.55000000000000004">
      <c r="D298" s="101"/>
      <c r="E298" s="99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</row>
    <row r="299" spans="4:133" x14ac:dyDescent="0.5">
      <c r="D299" s="100"/>
      <c r="E299" s="98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</row>
    <row r="300" spans="4:133" ht="16.149999999999999" thickBot="1" x14ac:dyDescent="0.55000000000000004">
      <c r="D300" s="101"/>
      <c r="E300" s="99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</row>
    <row r="301" spans="4:133" x14ac:dyDescent="0.5">
      <c r="D301" s="100"/>
      <c r="E301" s="98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</row>
    <row r="302" spans="4:133" ht="16.149999999999999" thickBot="1" x14ac:dyDescent="0.55000000000000004">
      <c r="D302" s="101"/>
      <c r="E302" s="99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</row>
    <row r="303" spans="4:133" x14ac:dyDescent="0.5">
      <c r="D303" s="100"/>
      <c r="E303" s="98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</row>
    <row r="304" spans="4:133" ht="16.149999999999999" thickBot="1" x14ac:dyDescent="0.55000000000000004">
      <c r="D304" s="101"/>
      <c r="E304" s="99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</row>
    <row r="305" spans="4:133" x14ac:dyDescent="0.5">
      <c r="D305" s="100"/>
      <c r="E305" s="98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</row>
    <row r="306" spans="4:133" ht="16.149999999999999" thickBot="1" x14ac:dyDescent="0.55000000000000004">
      <c r="D306" s="101"/>
      <c r="E306" s="99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</row>
    <row r="307" spans="4:133" x14ac:dyDescent="0.5">
      <c r="D307" s="100"/>
      <c r="E307" s="98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</row>
    <row r="308" spans="4:133" ht="16.149999999999999" thickBot="1" x14ac:dyDescent="0.55000000000000004">
      <c r="D308" s="101"/>
      <c r="E308" s="99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</row>
    <row r="309" spans="4:133" x14ac:dyDescent="0.5">
      <c r="D309" s="100"/>
      <c r="E309" s="98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</row>
    <row r="310" spans="4:133" ht="16.149999999999999" thickBot="1" x14ac:dyDescent="0.55000000000000004">
      <c r="D310" s="101"/>
      <c r="E310" s="99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</row>
    <row r="311" spans="4:133" x14ac:dyDescent="0.5">
      <c r="D311" s="100"/>
      <c r="E311" s="98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</row>
    <row r="312" spans="4:133" ht="16.149999999999999" thickBot="1" x14ac:dyDescent="0.55000000000000004">
      <c r="D312" s="101"/>
      <c r="E312" s="99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</row>
    <row r="313" spans="4:133" x14ac:dyDescent="0.5">
      <c r="D313" s="100"/>
      <c r="E313" s="98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</row>
    <row r="314" spans="4:133" ht="16.149999999999999" thickBot="1" x14ac:dyDescent="0.55000000000000004">
      <c r="D314" s="101"/>
      <c r="E314" s="99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</row>
    <row r="315" spans="4:133" x14ac:dyDescent="0.5">
      <c r="D315" s="100"/>
      <c r="E315" s="98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</row>
    <row r="316" spans="4:133" ht="16.149999999999999" thickBot="1" x14ac:dyDescent="0.55000000000000004">
      <c r="D316" s="101"/>
      <c r="E316" s="99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</row>
    <row r="317" spans="4:133" x14ac:dyDescent="0.5">
      <c r="D317" s="100"/>
      <c r="E317" s="98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</row>
    <row r="318" spans="4:133" ht="16.149999999999999" thickBot="1" x14ac:dyDescent="0.55000000000000004">
      <c r="D318" s="101"/>
      <c r="E318" s="99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</row>
    <row r="319" spans="4:133" x14ac:dyDescent="0.5">
      <c r="D319" s="100"/>
      <c r="E319" s="98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</row>
    <row r="320" spans="4:133" ht="16.149999999999999" thickBot="1" x14ac:dyDescent="0.55000000000000004">
      <c r="D320" s="101"/>
      <c r="E320" s="99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</row>
    <row r="321" spans="4:133" x14ac:dyDescent="0.5">
      <c r="D321" s="100"/>
      <c r="E321" s="98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</row>
    <row r="322" spans="4:133" ht="16.149999999999999" thickBot="1" x14ac:dyDescent="0.55000000000000004">
      <c r="D322" s="101"/>
      <c r="E322" s="99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</row>
    <row r="323" spans="4:133" x14ac:dyDescent="0.5">
      <c r="D323" s="100"/>
      <c r="E323" s="98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</row>
    <row r="324" spans="4:133" ht="16.149999999999999" thickBot="1" x14ac:dyDescent="0.55000000000000004">
      <c r="D324" s="101"/>
      <c r="E324" s="99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</row>
    <row r="325" spans="4:133" x14ac:dyDescent="0.5">
      <c r="D325" s="100"/>
      <c r="E325" s="98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</row>
    <row r="326" spans="4:133" ht="16.149999999999999" thickBot="1" x14ac:dyDescent="0.55000000000000004">
      <c r="D326" s="101"/>
      <c r="E326" s="99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</row>
    <row r="327" spans="4:133" x14ac:dyDescent="0.5">
      <c r="D327" s="100"/>
      <c r="E327" s="98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</row>
    <row r="328" spans="4:133" ht="16.149999999999999" thickBot="1" x14ac:dyDescent="0.55000000000000004">
      <c r="D328" s="101"/>
      <c r="E328" s="99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</row>
    <row r="329" spans="4:133" x14ac:dyDescent="0.5">
      <c r="D329" s="100"/>
      <c r="E329" s="98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</row>
    <row r="330" spans="4:133" ht="16.149999999999999" thickBot="1" x14ac:dyDescent="0.55000000000000004">
      <c r="D330" s="101"/>
      <c r="E330" s="99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</row>
    <row r="331" spans="4:133" x14ac:dyDescent="0.5">
      <c r="D331" s="100"/>
      <c r="E331" s="98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</row>
    <row r="332" spans="4:133" ht="16.149999999999999" thickBot="1" x14ac:dyDescent="0.55000000000000004">
      <c r="D332" s="101"/>
      <c r="E332" s="99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</row>
    <row r="333" spans="4:133" x14ac:dyDescent="0.5">
      <c r="D333" s="100"/>
      <c r="E333" s="98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</row>
    <row r="334" spans="4:133" ht="16.149999999999999" thickBot="1" x14ac:dyDescent="0.55000000000000004">
      <c r="D334" s="101"/>
      <c r="E334" s="99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</row>
    <row r="335" spans="4:133" x14ac:dyDescent="0.5">
      <c r="D335" s="100"/>
      <c r="E335" s="98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</row>
    <row r="336" spans="4:133" ht="16.149999999999999" thickBot="1" x14ac:dyDescent="0.55000000000000004">
      <c r="D336" s="101"/>
      <c r="E336" s="99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</row>
    <row r="337" spans="4:133" x14ac:dyDescent="0.5">
      <c r="D337" s="100"/>
      <c r="E337" s="98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</row>
    <row r="338" spans="4:133" ht="16.149999999999999" thickBot="1" x14ac:dyDescent="0.55000000000000004">
      <c r="D338" s="101"/>
      <c r="E338" s="99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</row>
    <row r="339" spans="4:133" x14ac:dyDescent="0.5">
      <c r="D339" s="100"/>
      <c r="E339" s="98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</row>
    <row r="340" spans="4:133" ht="16.149999999999999" thickBot="1" x14ac:dyDescent="0.55000000000000004">
      <c r="D340" s="101"/>
      <c r="E340" s="99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</row>
    <row r="341" spans="4:133" x14ac:dyDescent="0.5">
      <c r="D341" s="100"/>
      <c r="E341" s="98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</row>
    <row r="342" spans="4:133" ht="16.149999999999999" thickBot="1" x14ac:dyDescent="0.55000000000000004">
      <c r="D342" s="101"/>
      <c r="E342" s="99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</row>
    <row r="343" spans="4:133" x14ac:dyDescent="0.5">
      <c r="D343" s="100"/>
      <c r="E343" s="98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</row>
    <row r="344" spans="4:133" ht="16.149999999999999" thickBot="1" x14ac:dyDescent="0.55000000000000004">
      <c r="D344" s="101"/>
      <c r="E344" s="99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</row>
    <row r="345" spans="4:133" x14ac:dyDescent="0.5">
      <c r="D345" s="100"/>
      <c r="E345" s="98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</row>
    <row r="346" spans="4:133" ht="16.149999999999999" thickBot="1" x14ac:dyDescent="0.55000000000000004">
      <c r="D346" s="101"/>
      <c r="E346" s="99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</row>
    <row r="347" spans="4:133" x14ac:dyDescent="0.5">
      <c r="D347" s="100"/>
      <c r="E347" s="98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</row>
    <row r="348" spans="4:133" ht="16.149999999999999" thickBot="1" x14ac:dyDescent="0.55000000000000004">
      <c r="D348" s="101"/>
      <c r="E348" s="99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</row>
    <row r="349" spans="4:133" x14ac:dyDescent="0.5">
      <c r="D349" s="100"/>
      <c r="E349" s="98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</row>
    <row r="350" spans="4:133" ht="16.149999999999999" thickBot="1" x14ac:dyDescent="0.55000000000000004">
      <c r="D350" s="101"/>
      <c r="E350" s="99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</row>
    <row r="351" spans="4:133" x14ac:dyDescent="0.5">
      <c r="D351" s="100"/>
      <c r="E351" s="98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</row>
    <row r="352" spans="4:133" ht="16.149999999999999" thickBot="1" x14ac:dyDescent="0.55000000000000004">
      <c r="D352" s="101"/>
      <c r="E352" s="99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</row>
    <row r="353" spans="4:133" x14ac:dyDescent="0.5">
      <c r="D353" s="100"/>
      <c r="E353" s="98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</row>
    <row r="354" spans="4:133" ht="16.149999999999999" thickBot="1" x14ac:dyDescent="0.55000000000000004">
      <c r="D354" s="101"/>
      <c r="E354" s="99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</row>
    <row r="355" spans="4:133" x14ac:dyDescent="0.5">
      <c r="D355" s="100"/>
      <c r="E355" s="98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</row>
    <row r="356" spans="4:133" ht="16.149999999999999" thickBot="1" x14ac:dyDescent="0.55000000000000004">
      <c r="D356" s="101"/>
      <c r="E356" s="99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</row>
    <row r="357" spans="4:133" x14ac:dyDescent="0.5">
      <c r="D357" s="100"/>
      <c r="E357" s="98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</row>
    <row r="358" spans="4:133" ht="16.149999999999999" thickBot="1" x14ac:dyDescent="0.55000000000000004">
      <c r="D358" s="101"/>
      <c r="E358" s="99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</row>
    <row r="359" spans="4:133" x14ac:dyDescent="0.5">
      <c r="D359" s="100"/>
      <c r="E359" s="98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</row>
    <row r="360" spans="4:133" ht="16.149999999999999" thickBot="1" x14ac:dyDescent="0.55000000000000004">
      <c r="D360" s="101"/>
      <c r="E360" s="99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</row>
    <row r="361" spans="4:133" x14ac:dyDescent="0.5">
      <c r="D361" s="100"/>
      <c r="E361" s="98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</row>
    <row r="362" spans="4:133" ht="16.149999999999999" thickBot="1" x14ac:dyDescent="0.55000000000000004">
      <c r="D362" s="101"/>
      <c r="E362" s="99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</row>
    <row r="363" spans="4:133" x14ac:dyDescent="0.5">
      <c r="D363" s="100"/>
      <c r="E363" s="98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</row>
    <row r="364" spans="4:133" ht="16.149999999999999" thickBot="1" x14ac:dyDescent="0.55000000000000004">
      <c r="D364" s="101"/>
      <c r="E364" s="99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</row>
    <row r="365" spans="4:133" x14ac:dyDescent="0.5">
      <c r="D365" s="100"/>
      <c r="E365" s="98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</row>
    <row r="366" spans="4:133" ht="16.149999999999999" thickBot="1" x14ac:dyDescent="0.55000000000000004">
      <c r="D366" s="101"/>
      <c r="E366" s="99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</row>
    <row r="367" spans="4:133" x14ac:dyDescent="0.5">
      <c r="D367" s="100"/>
      <c r="E367" s="98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</row>
    <row r="368" spans="4:133" ht="16.149999999999999" thickBot="1" x14ac:dyDescent="0.55000000000000004">
      <c r="D368" s="101"/>
      <c r="E368" s="99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</row>
    <row r="369" spans="4:133" x14ac:dyDescent="0.5">
      <c r="D369" s="100"/>
      <c r="E369" s="98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</row>
    <row r="370" spans="4:133" ht="16.149999999999999" thickBot="1" x14ac:dyDescent="0.55000000000000004">
      <c r="D370" s="101"/>
      <c r="E370" s="99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</row>
    <row r="371" spans="4:133" x14ac:dyDescent="0.5">
      <c r="D371" s="100"/>
      <c r="E371" s="98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</row>
    <row r="372" spans="4:133" ht="16.149999999999999" thickBot="1" x14ac:dyDescent="0.55000000000000004">
      <c r="D372" s="101"/>
      <c r="E372" s="99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</row>
    <row r="373" spans="4:133" x14ac:dyDescent="0.5">
      <c r="D373" s="100"/>
      <c r="E373" s="98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</row>
    <row r="374" spans="4:133" ht="16.149999999999999" thickBot="1" x14ac:dyDescent="0.55000000000000004">
      <c r="D374" s="101"/>
      <c r="E374" s="99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</row>
    <row r="375" spans="4:133" x14ac:dyDescent="0.5">
      <c r="D375" s="100"/>
      <c r="E375" s="98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</row>
    <row r="376" spans="4:133" ht="16.149999999999999" thickBot="1" x14ac:dyDescent="0.55000000000000004">
      <c r="D376" s="101"/>
      <c r="E376" s="99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</row>
    <row r="377" spans="4:133" x14ac:dyDescent="0.5">
      <c r="D377" s="100"/>
      <c r="E377" s="98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</row>
    <row r="378" spans="4:133" ht="16.149999999999999" thickBot="1" x14ac:dyDescent="0.55000000000000004">
      <c r="D378" s="101"/>
      <c r="E378" s="99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</row>
    <row r="379" spans="4:133" x14ac:dyDescent="0.5">
      <c r="D379" s="100"/>
      <c r="E379" s="98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</row>
    <row r="380" spans="4:133" ht="16.149999999999999" thickBot="1" x14ac:dyDescent="0.55000000000000004">
      <c r="D380" s="101"/>
      <c r="E380" s="99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</row>
    <row r="381" spans="4:133" x14ac:dyDescent="0.5">
      <c r="D381" s="100"/>
      <c r="E381" s="98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</row>
    <row r="382" spans="4:133" ht="16.149999999999999" thickBot="1" x14ac:dyDescent="0.55000000000000004">
      <c r="D382" s="101"/>
      <c r="E382" s="99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</row>
    <row r="383" spans="4:133" x14ac:dyDescent="0.5">
      <c r="D383" s="100"/>
      <c r="E383" s="98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</row>
    <row r="384" spans="4:133" ht="16.149999999999999" thickBot="1" x14ac:dyDescent="0.55000000000000004">
      <c r="D384" s="101"/>
      <c r="E384" s="99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</row>
    <row r="385" spans="4:133" x14ac:dyDescent="0.5">
      <c r="D385" s="100"/>
      <c r="E385" s="98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</row>
    <row r="386" spans="4:133" ht="16.149999999999999" thickBot="1" x14ac:dyDescent="0.55000000000000004">
      <c r="D386" s="101"/>
      <c r="E386" s="99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</row>
    <row r="387" spans="4:133" x14ac:dyDescent="0.5">
      <c r="D387" s="100"/>
      <c r="E387" s="98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</row>
    <row r="388" spans="4:133" ht="16.149999999999999" thickBot="1" x14ac:dyDescent="0.55000000000000004">
      <c r="D388" s="101"/>
      <c r="E388" s="99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</row>
    <row r="389" spans="4:133" x14ac:dyDescent="0.5">
      <c r="D389" s="100"/>
      <c r="E389" s="98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</row>
    <row r="390" spans="4:133" ht="16.149999999999999" thickBot="1" x14ac:dyDescent="0.55000000000000004">
      <c r="D390" s="101"/>
      <c r="E390" s="99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</row>
    <row r="391" spans="4:133" x14ac:dyDescent="0.5">
      <c r="D391" s="100"/>
      <c r="E391" s="98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</row>
    <row r="392" spans="4:133" ht="16.149999999999999" thickBot="1" x14ac:dyDescent="0.55000000000000004">
      <c r="D392" s="101"/>
      <c r="E392" s="99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</row>
    <row r="393" spans="4:133" x14ac:dyDescent="0.5">
      <c r="D393" s="100"/>
      <c r="E393" s="98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</row>
    <row r="394" spans="4:133" ht="16.149999999999999" thickBot="1" x14ac:dyDescent="0.55000000000000004">
      <c r="D394" s="101"/>
      <c r="E394" s="99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</row>
    <row r="395" spans="4:133" x14ac:dyDescent="0.5">
      <c r="D395" s="100"/>
      <c r="E395" s="98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</row>
    <row r="396" spans="4:133" ht="16.149999999999999" thickBot="1" x14ac:dyDescent="0.55000000000000004">
      <c r="D396" s="101"/>
      <c r="E396" s="99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</row>
    <row r="397" spans="4:133" x14ac:dyDescent="0.5">
      <c r="D397" s="100"/>
      <c r="E397" s="98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</row>
    <row r="398" spans="4:133" ht="16.149999999999999" thickBot="1" x14ac:dyDescent="0.55000000000000004">
      <c r="D398" s="101"/>
      <c r="E398" s="99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</row>
    <row r="399" spans="4:133" x14ac:dyDescent="0.5">
      <c r="D399" s="100"/>
      <c r="E399" s="98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</row>
    <row r="400" spans="4:133" ht="16.149999999999999" thickBot="1" x14ac:dyDescent="0.55000000000000004">
      <c r="D400" s="101"/>
      <c r="E400" s="99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</row>
    <row r="401" spans="4:133" x14ac:dyDescent="0.5">
      <c r="D401" s="100"/>
      <c r="E401" s="98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</row>
    <row r="402" spans="4:133" ht="16.149999999999999" thickBot="1" x14ac:dyDescent="0.55000000000000004">
      <c r="D402" s="101"/>
      <c r="E402" s="99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</row>
    <row r="403" spans="4:133" x14ac:dyDescent="0.5">
      <c r="D403" s="100"/>
      <c r="E403" s="98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</row>
    <row r="404" spans="4:133" ht="16.149999999999999" thickBot="1" x14ac:dyDescent="0.55000000000000004">
      <c r="D404" s="101"/>
      <c r="E404" s="99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</row>
    <row r="405" spans="4:133" x14ac:dyDescent="0.5">
      <c r="D405" s="100"/>
      <c r="E405" s="98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</row>
    <row r="406" spans="4:133" ht="16.149999999999999" thickBot="1" x14ac:dyDescent="0.55000000000000004">
      <c r="D406" s="101"/>
      <c r="E406" s="99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</row>
    <row r="407" spans="4:133" x14ac:dyDescent="0.5">
      <c r="D407" s="100"/>
      <c r="E407" s="98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</row>
    <row r="408" spans="4:133" ht="16.149999999999999" thickBot="1" x14ac:dyDescent="0.55000000000000004">
      <c r="D408" s="101"/>
      <c r="E408" s="99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</row>
    <row r="409" spans="4:133" x14ac:dyDescent="0.5">
      <c r="D409" s="100"/>
      <c r="E409" s="98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</row>
    <row r="410" spans="4:133" ht="16.149999999999999" thickBot="1" x14ac:dyDescent="0.55000000000000004">
      <c r="D410" s="101"/>
      <c r="E410" s="99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</row>
    <row r="411" spans="4:133" x14ac:dyDescent="0.5">
      <c r="D411" s="100"/>
      <c r="E411" s="98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</row>
    <row r="412" spans="4:133" ht="16.149999999999999" thickBot="1" x14ac:dyDescent="0.55000000000000004">
      <c r="D412" s="101"/>
      <c r="E412" s="99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</row>
    <row r="413" spans="4:133" x14ac:dyDescent="0.5">
      <c r="D413" s="100"/>
      <c r="E413" s="98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</row>
    <row r="414" spans="4:133" ht="16.149999999999999" thickBot="1" x14ac:dyDescent="0.55000000000000004">
      <c r="D414" s="101"/>
      <c r="E414" s="99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</row>
    <row r="415" spans="4:133" x14ac:dyDescent="0.5">
      <c r="D415" s="100"/>
      <c r="E415" s="98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</row>
    <row r="416" spans="4:133" ht="16.149999999999999" thickBot="1" x14ac:dyDescent="0.55000000000000004">
      <c r="D416" s="101"/>
      <c r="E416" s="99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</row>
    <row r="417" spans="4:133" x14ac:dyDescent="0.5">
      <c r="D417" s="100"/>
      <c r="E417" s="98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</row>
    <row r="418" spans="4:133" ht="16.149999999999999" thickBot="1" x14ac:dyDescent="0.55000000000000004">
      <c r="D418" s="101"/>
      <c r="E418" s="99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</row>
    <row r="419" spans="4:133" x14ac:dyDescent="0.5">
      <c r="D419" s="100"/>
      <c r="E419" s="98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</row>
    <row r="420" spans="4:133" ht="16.149999999999999" thickBot="1" x14ac:dyDescent="0.55000000000000004">
      <c r="D420" s="101"/>
      <c r="E420" s="99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</row>
    <row r="421" spans="4:133" x14ac:dyDescent="0.5">
      <c r="D421" s="100"/>
      <c r="E421" s="98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</row>
    <row r="422" spans="4:133" ht="16.149999999999999" thickBot="1" x14ac:dyDescent="0.55000000000000004">
      <c r="D422" s="101"/>
      <c r="E422" s="99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</row>
    <row r="423" spans="4:133" x14ac:dyDescent="0.5">
      <c r="D423" s="100"/>
      <c r="E423" s="98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</row>
    <row r="424" spans="4:133" ht="16.149999999999999" thickBot="1" x14ac:dyDescent="0.55000000000000004">
      <c r="D424" s="101"/>
      <c r="E424" s="99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</row>
    <row r="425" spans="4:133" x14ac:dyDescent="0.5">
      <c r="D425" s="100"/>
      <c r="E425" s="98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</row>
    <row r="426" spans="4:133" ht="16.149999999999999" thickBot="1" x14ac:dyDescent="0.55000000000000004">
      <c r="D426" s="101"/>
      <c r="E426" s="99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</row>
    <row r="427" spans="4:133" x14ac:dyDescent="0.5">
      <c r="D427" s="100"/>
      <c r="E427" s="98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</row>
    <row r="428" spans="4:133" ht="16.149999999999999" thickBot="1" x14ac:dyDescent="0.55000000000000004">
      <c r="D428" s="101"/>
      <c r="E428" s="99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</row>
    <row r="429" spans="4:133" x14ac:dyDescent="0.5">
      <c r="D429" s="100"/>
      <c r="E429" s="98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</row>
    <row r="430" spans="4:133" ht="16.149999999999999" thickBot="1" x14ac:dyDescent="0.55000000000000004">
      <c r="D430" s="101"/>
      <c r="E430" s="99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</row>
    <row r="431" spans="4:133" x14ac:dyDescent="0.5">
      <c r="D431" s="100"/>
      <c r="E431" s="98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</row>
    <row r="432" spans="4:133" ht="16.149999999999999" thickBot="1" x14ac:dyDescent="0.55000000000000004">
      <c r="D432" s="101"/>
      <c r="E432" s="99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</row>
    <row r="433" spans="4:133" x14ac:dyDescent="0.5">
      <c r="D433" s="100"/>
      <c r="E433" s="98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</row>
    <row r="434" spans="4:133" ht="16.149999999999999" thickBot="1" x14ac:dyDescent="0.55000000000000004">
      <c r="D434" s="101"/>
      <c r="E434" s="99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</row>
    <row r="435" spans="4:133" x14ac:dyDescent="0.5">
      <c r="D435" s="100"/>
      <c r="E435" s="98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</row>
    <row r="436" spans="4:133" ht="16.149999999999999" thickBot="1" x14ac:dyDescent="0.55000000000000004">
      <c r="D436" s="101"/>
      <c r="E436" s="99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</row>
    <row r="437" spans="4:133" x14ac:dyDescent="0.5">
      <c r="D437" s="100"/>
      <c r="E437" s="98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</row>
    <row r="438" spans="4:133" ht="16.149999999999999" thickBot="1" x14ac:dyDescent="0.55000000000000004">
      <c r="D438" s="101"/>
      <c r="E438" s="99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</row>
    <row r="439" spans="4:133" x14ac:dyDescent="0.5">
      <c r="D439" s="100"/>
      <c r="E439" s="98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</row>
    <row r="440" spans="4:133" ht="16.149999999999999" thickBot="1" x14ac:dyDescent="0.55000000000000004">
      <c r="D440" s="101"/>
      <c r="E440" s="99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</row>
    <row r="441" spans="4:133" x14ac:dyDescent="0.5">
      <c r="D441" s="100"/>
      <c r="E441" s="98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</row>
    <row r="442" spans="4:133" ht="16.149999999999999" thickBot="1" x14ac:dyDescent="0.55000000000000004">
      <c r="D442" s="101"/>
      <c r="E442" s="99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</row>
    <row r="443" spans="4:133" x14ac:dyDescent="0.5">
      <c r="D443" s="100"/>
      <c r="E443" s="98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</row>
    <row r="444" spans="4:133" ht="16.149999999999999" thickBot="1" x14ac:dyDescent="0.55000000000000004">
      <c r="D444" s="101"/>
      <c r="E444" s="99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</row>
    <row r="445" spans="4:133" x14ac:dyDescent="0.5">
      <c r="D445" s="100"/>
      <c r="E445" s="98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</row>
    <row r="446" spans="4:133" ht="16.149999999999999" thickBot="1" x14ac:dyDescent="0.55000000000000004">
      <c r="D446" s="101"/>
      <c r="E446" s="99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</row>
    <row r="447" spans="4:133" x14ac:dyDescent="0.5">
      <c r="D447" s="100"/>
      <c r="E447" s="98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</row>
    <row r="448" spans="4:133" ht="16.149999999999999" thickBot="1" x14ac:dyDescent="0.55000000000000004">
      <c r="D448" s="101"/>
      <c r="E448" s="99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</row>
    <row r="449" spans="4:133" x14ac:dyDescent="0.5">
      <c r="D449" s="100"/>
      <c r="E449" s="98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</row>
    <row r="450" spans="4:133" ht="16.149999999999999" thickBot="1" x14ac:dyDescent="0.55000000000000004">
      <c r="D450" s="101"/>
      <c r="E450" s="99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</row>
    <row r="451" spans="4:133" x14ac:dyDescent="0.5">
      <c r="D451" s="100"/>
      <c r="E451" s="98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</row>
    <row r="452" spans="4:133" ht="16.149999999999999" thickBot="1" x14ac:dyDescent="0.55000000000000004">
      <c r="D452" s="101"/>
      <c r="E452" s="99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</row>
    <row r="453" spans="4:133" x14ac:dyDescent="0.5">
      <c r="D453" s="100"/>
      <c r="E453" s="98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</row>
    <row r="454" spans="4:133" ht="16.149999999999999" thickBot="1" x14ac:dyDescent="0.55000000000000004">
      <c r="D454" s="101"/>
      <c r="E454" s="99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</row>
    <row r="455" spans="4:133" x14ac:dyDescent="0.5">
      <c r="D455" s="100"/>
      <c r="E455" s="98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</row>
    <row r="456" spans="4:133" ht="16.149999999999999" thickBot="1" x14ac:dyDescent="0.55000000000000004">
      <c r="D456" s="101"/>
      <c r="E456" s="99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</row>
    <row r="457" spans="4:133" x14ac:dyDescent="0.5">
      <c r="D457" s="100"/>
      <c r="E457" s="98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</row>
    <row r="458" spans="4:133" ht="16.149999999999999" thickBot="1" x14ac:dyDescent="0.55000000000000004">
      <c r="D458" s="101"/>
      <c r="E458" s="99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</row>
    <row r="459" spans="4:133" x14ac:dyDescent="0.5">
      <c r="D459" s="100"/>
      <c r="E459" s="98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</row>
    <row r="460" spans="4:133" ht="16.149999999999999" thickBot="1" x14ac:dyDescent="0.55000000000000004">
      <c r="D460" s="101"/>
      <c r="E460" s="99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</row>
    <row r="461" spans="4:133" x14ac:dyDescent="0.5">
      <c r="D461" s="100"/>
      <c r="E461" s="98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</row>
    <row r="462" spans="4:133" ht="16.149999999999999" thickBot="1" x14ac:dyDescent="0.55000000000000004">
      <c r="D462" s="101"/>
      <c r="E462" s="99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</row>
    <row r="463" spans="4:133" x14ac:dyDescent="0.5">
      <c r="D463" s="100"/>
      <c r="E463" s="98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</row>
    <row r="464" spans="4:133" ht="16.149999999999999" thickBot="1" x14ac:dyDescent="0.55000000000000004">
      <c r="D464" s="101"/>
      <c r="E464" s="99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</row>
    <row r="465" spans="4:133" x14ac:dyDescent="0.5">
      <c r="D465" s="100"/>
      <c r="E465" s="98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</row>
    <row r="466" spans="4:133" ht="16.149999999999999" thickBot="1" x14ac:dyDescent="0.55000000000000004">
      <c r="D466" s="101"/>
      <c r="E466" s="99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</row>
    <row r="467" spans="4:133" x14ac:dyDescent="0.5">
      <c r="D467" s="100"/>
      <c r="E467" s="98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</row>
    <row r="468" spans="4:133" ht="16.149999999999999" thickBot="1" x14ac:dyDescent="0.55000000000000004">
      <c r="D468" s="101"/>
      <c r="E468" s="99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</row>
    <row r="469" spans="4:133" x14ac:dyDescent="0.5">
      <c r="D469" s="100"/>
      <c r="E469" s="98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</row>
    <row r="470" spans="4:133" ht="16.149999999999999" thickBot="1" x14ac:dyDescent="0.55000000000000004">
      <c r="D470" s="101"/>
      <c r="E470" s="99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</row>
    <row r="471" spans="4:133" x14ac:dyDescent="0.5">
      <c r="D471" s="100"/>
      <c r="E471" s="98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</row>
    <row r="472" spans="4:133" ht="16.149999999999999" thickBot="1" x14ac:dyDescent="0.55000000000000004">
      <c r="D472" s="101"/>
      <c r="E472" s="99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</row>
    <row r="473" spans="4:133" x14ac:dyDescent="0.5">
      <c r="D473" s="100"/>
      <c r="E473" s="98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</row>
    <row r="474" spans="4:133" ht="16.149999999999999" thickBot="1" x14ac:dyDescent="0.55000000000000004">
      <c r="D474" s="101"/>
      <c r="E474" s="99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</row>
    <row r="475" spans="4:133" x14ac:dyDescent="0.5">
      <c r="D475" s="100"/>
      <c r="E475" s="98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</row>
    <row r="476" spans="4:133" ht="16.149999999999999" thickBot="1" x14ac:dyDescent="0.55000000000000004">
      <c r="D476" s="101"/>
      <c r="E476" s="99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</row>
    <row r="477" spans="4:133" x14ac:dyDescent="0.5">
      <c r="D477" s="100"/>
      <c r="E477" s="98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</row>
    <row r="478" spans="4:133" ht="16.149999999999999" thickBot="1" x14ac:dyDescent="0.55000000000000004">
      <c r="D478" s="101"/>
      <c r="E478" s="99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</row>
    <row r="479" spans="4:133" x14ac:dyDescent="0.5">
      <c r="D479" s="100"/>
      <c r="E479" s="98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</row>
    <row r="480" spans="4:133" ht="16.149999999999999" thickBot="1" x14ac:dyDescent="0.55000000000000004">
      <c r="D480" s="101"/>
      <c r="E480" s="99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</row>
    <row r="481" spans="4:133" x14ac:dyDescent="0.5">
      <c r="D481" s="100"/>
      <c r="E481" s="98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</row>
    <row r="482" spans="4:133" ht="16.149999999999999" thickBot="1" x14ac:dyDescent="0.55000000000000004">
      <c r="D482" s="101"/>
      <c r="E482" s="99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</row>
    <row r="483" spans="4:133" x14ac:dyDescent="0.5">
      <c r="D483" s="100"/>
      <c r="E483" s="98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</row>
    <row r="484" spans="4:133" ht="16.149999999999999" thickBot="1" x14ac:dyDescent="0.55000000000000004">
      <c r="D484" s="101"/>
      <c r="E484" s="99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</row>
    <row r="485" spans="4:133" x14ac:dyDescent="0.5">
      <c r="D485" s="100"/>
      <c r="E485" s="98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</row>
    <row r="486" spans="4:133" ht="16.149999999999999" thickBot="1" x14ac:dyDescent="0.55000000000000004">
      <c r="D486" s="101"/>
      <c r="E486" s="99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</row>
    <row r="487" spans="4:133" x14ac:dyDescent="0.5">
      <c r="D487" s="100"/>
      <c r="E487" s="98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</row>
    <row r="488" spans="4:133" ht="16.149999999999999" thickBot="1" x14ac:dyDescent="0.55000000000000004">
      <c r="D488" s="101"/>
      <c r="E488" s="99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</row>
    <row r="489" spans="4:133" x14ac:dyDescent="0.5">
      <c r="D489" s="100"/>
      <c r="E489" s="98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</row>
    <row r="490" spans="4:133" ht="16.149999999999999" thickBot="1" x14ac:dyDescent="0.55000000000000004">
      <c r="D490" s="101"/>
      <c r="E490" s="99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</row>
    <row r="491" spans="4:133" x14ac:dyDescent="0.5">
      <c r="D491" s="100"/>
      <c r="E491" s="98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</row>
    <row r="492" spans="4:133" ht="16.149999999999999" thickBot="1" x14ac:dyDescent="0.55000000000000004">
      <c r="D492" s="101"/>
      <c r="E492" s="99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</row>
    <row r="493" spans="4:133" x14ac:dyDescent="0.5">
      <c r="D493" s="100"/>
      <c r="E493" s="98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</row>
    <row r="494" spans="4:133" ht="16.149999999999999" thickBot="1" x14ac:dyDescent="0.55000000000000004">
      <c r="D494" s="101"/>
      <c r="E494" s="99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</row>
    <row r="495" spans="4:133" x14ac:dyDescent="0.5">
      <c r="D495" s="100"/>
      <c r="E495" s="98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</row>
    <row r="496" spans="4:133" ht="16.149999999999999" thickBot="1" x14ac:dyDescent="0.55000000000000004">
      <c r="D496" s="101"/>
      <c r="E496" s="99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</row>
    <row r="497" spans="4:133" x14ac:dyDescent="0.5">
      <c r="D497" s="100"/>
      <c r="E497" s="98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</row>
    <row r="498" spans="4:133" ht="16.149999999999999" thickBot="1" x14ac:dyDescent="0.55000000000000004">
      <c r="D498" s="101"/>
      <c r="E498" s="99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</row>
    <row r="499" spans="4:133" x14ac:dyDescent="0.5">
      <c r="D499" s="100"/>
      <c r="E499" s="98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</row>
    <row r="500" spans="4:133" ht="16.149999999999999" thickBot="1" x14ac:dyDescent="0.55000000000000004">
      <c r="D500" s="101"/>
      <c r="E500" s="99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</row>
    <row r="501" spans="4:133" x14ac:dyDescent="0.5">
      <c r="D501" s="100"/>
      <c r="E501" s="98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</row>
    <row r="502" spans="4:133" ht="16.149999999999999" thickBot="1" x14ac:dyDescent="0.55000000000000004">
      <c r="D502" s="101"/>
      <c r="E502" s="99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</row>
    <row r="503" spans="4:133" x14ac:dyDescent="0.5">
      <c r="D503" s="100"/>
      <c r="E503" s="98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</row>
    <row r="504" spans="4:133" ht="16.149999999999999" thickBot="1" x14ac:dyDescent="0.55000000000000004">
      <c r="D504" s="101"/>
      <c r="E504" s="99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</row>
    <row r="505" spans="4:133" x14ac:dyDescent="0.5">
      <c r="D505" s="100"/>
      <c r="E505" s="98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</row>
    <row r="506" spans="4:133" ht="16.149999999999999" thickBot="1" x14ac:dyDescent="0.55000000000000004">
      <c r="D506" s="101"/>
      <c r="E506" s="99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</row>
    <row r="507" spans="4:133" x14ac:dyDescent="0.5">
      <c r="D507" s="100"/>
      <c r="E507" s="98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</row>
    <row r="508" spans="4:133" ht="16.149999999999999" thickBot="1" x14ac:dyDescent="0.55000000000000004">
      <c r="D508" s="101"/>
      <c r="E508" s="99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</row>
    <row r="509" spans="4:133" x14ac:dyDescent="0.5">
      <c r="D509" s="100"/>
      <c r="E509" s="98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</row>
    <row r="510" spans="4:133" ht="16.149999999999999" thickBot="1" x14ac:dyDescent="0.55000000000000004">
      <c r="D510" s="101"/>
      <c r="E510" s="99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</row>
    <row r="511" spans="4:133" x14ac:dyDescent="0.5">
      <c r="D511" s="100"/>
      <c r="E511" s="98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</row>
    <row r="512" spans="4:133" ht="16.149999999999999" thickBot="1" x14ac:dyDescent="0.55000000000000004">
      <c r="D512" s="101"/>
      <c r="E512" s="99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</row>
    <row r="513" spans="4:133" x14ac:dyDescent="0.5">
      <c r="D513" s="100"/>
      <c r="E513" s="98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</row>
    <row r="514" spans="4:133" ht="16.149999999999999" thickBot="1" x14ac:dyDescent="0.55000000000000004">
      <c r="D514" s="101"/>
      <c r="E514" s="99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</row>
    <row r="515" spans="4:133" x14ac:dyDescent="0.5">
      <c r="D515" s="100"/>
      <c r="E515" s="98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</row>
    <row r="516" spans="4:133" ht="16.149999999999999" thickBot="1" x14ac:dyDescent="0.55000000000000004">
      <c r="D516" s="101"/>
      <c r="E516" s="99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</row>
    <row r="517" spans="4:133" x14ac:dyDescent="0.5">
      <c r="D517" s="100"/>
      <c r="E517" s="98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</row>
    <row r="518" spans="4:133" ht="16.149999999999999" thickBot="1" x14ac:dyDescent="0.55000000000000004">
      <c r="D518" s="101"/>
      <c r="E518" s="99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</row>
    <row r="519" spans="4:133" x14ac:dyDescent="0.5">
      <c r="D519" s="100"/>
      <c r="E519" s="98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</row>
    <row r="520" spans="4:133" ht="16.149999999999999" thickBot="1" x14ac:dyDescent="0.55000000000000004">
      <c r="D520" s="101"/>
      <c r="E520" s="99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</row>
    <row r="521" spans="4:133" x14ac:dyDescent="0.5">
      <c r="D521" s="100"/>
      <c r="E521" s="98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</row>
    <row r="522" spans="4:133" ht="16.149999999999999" thickBot="1" x14ac:dyDescent="0.55000000000000004">
      <c r="D522" s="101"/>
      <c r="E522" s="99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</row>
    <row r="523" spans="4:133" x14ac:dyDescent="0.5">
      <c r="D523" s="100"/>
      <c r="E523" s="98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</row>
    <row r="524" spans="4:133" ht="16.149999999999999" thickBot="1" x14ac:dyDescent="0.55000000000000004">
      <c r="D524" s="101"/>
      <c r="E524" s="99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</row>
    <row r="525" spans="4:133" x14ac:dyDescent="0.5">
      <c r="D525" s="100"/>
      <c r="E525" s="98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</row>
    <row r="526" spans="4:133" ht="16.149999999999999" thickBot="1" x14ac:dyDescent="0.55000000000000004">
      <c r="D526" s="101"/>
      <c r="E526" s="99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</row>
    <row r="527" spans="4:133" x14ac:dyDescent="0.5">
      <c r="D527" s="100"/>
      <c r="E527" s="98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</row>
    <row r="528" spans="4:133" ht="16.149999999999999" thickBot="1" x14ac:dyDescent="0.55000000000000004">
      <c r="D528" s="101"/>
      <c r="E528" s="99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</row>
    <row r="529" spans="4:133" x14ac:dyDescent="0.5">
      <c r="D529" s="100"/>
      <c r="E529" s="98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</row>
    <row r="530" spans="4:133" ht="16.149999999999999" thickBot="1" x14ac:dyDescent="0.55000000000000004">
      <c r="D530" s="101"/>
      <c r="E530" s="99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</row>
    <row r="531" spans="4:133" x14ac:dyDescent="0.5">
      <c r="D531" s="100"/>
      <c r="E531" s="98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</row>
    <row r="532" spans="4:133" ht="16.149999999999999" thickBot="1" x14ac:dyDescent="0.55000000000000004">
      <c r="D532" s="101"/>
      <c r="E532" s="99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</row>
    <row r="533" spans="4:133" x14ac:dyDescent="0.5">
      <c r="D533" s="100"/>
      <c r="E533" s="98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</row>
    <row r="534" spans="4:133" ht="16.149999999999999" thickBot="1" x14ac:dyDescent="0.55000000000000004">
      <c r="D534" s="101"/>
      <c r="E534" s="99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</row>
    <row r="535" spans="4:133" x14ac:dyDescent="0.5">
      <c r="D535" s="100"/>
      <c r="E535" s="98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</row>
    <row r="536" spans="4:133" ht="16.149999999999999" thickBot="1" x14ac:dyDescent="0.55000000000000004">
      <c r="D536" s="101"/>
      <c r="E536" s="99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</row>
    <row r="537" spans="4:133" x14ac:dyDescent="0.5">
      <c r="D537" s="100"/>
      <c r="E537" s="98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</row>
    <row r="538" spans="4:133" ht="16.149999999999999" thickBot="1" x14ac:dyDescent="0.55000000000000004">
      <c r="D538" s="101"/>
      <c r="E538" s="99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</row>
    <row r="539" spans="4:133" x14ac:dyDescent="0.5">
      <c r="D539" s="100"/>
      <c r="E539" s="98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</row>
    <row r="540" spans="4:133" ht="16.149999999999999" thickBot="1" x14ac:dyDescent="0.55000000000000004">
      <c r="D540" s="101"/>
      <c r="E540" s="99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</row>
    <row r="541" spans="4:133" x14ac:dyDescent="0.5">
      <c r="D541" s="100"/>
      <c r="E541" s="98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</row>
    <row r="542" spans="4:133" ht="16.149999999999999" thickBot="1" x14ac:dyDescent="0.55000000000000004">
      <c r="D542" s="101"/>
      <c r="E542" s="99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</row>
    <row r="543" spans="4:133" x14ac:dyDescent="0.5">
      <c r="D543" s="100"/>
      <c r="E543" s="98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</row>
    <row r="544" spans="4:133" ht="16.149999999999999" thickBot="1" x14ac:dyDescent="0.55000000000000004">
      <c r="D544" s="101"/>
      <c r="E544" s="99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</row>
    <row r="545" spans="4:133" x14ac:dyDescent="0.5">
      <c r="D545" s="100"/>
      <c r="E545" s="98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</row>
    <row r="546" spans="4:133" ht="16.149999999999999" thickBot="1" x14ac:dyDescent="0.55000000000000004">
      <c r="D546" s="101"/>
      <c r="E546" s="99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</row>
    <row r="547" spans="4:133" x14ac:dyDescent="0.5">
      <c r="D547" s="100"/>
      <c r="E547" s="98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</row>
    <row r="548" spans="4:133" ht="16.149999999999999" thickBot="1" x14ac:dyDescent="0.55000000000000004">
      <c r="D548" s="101"/>
      <c r="E548" s="99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</row>
    <row r="549" spans="4:133" x14ac:dyDescent="0.5">
      <c r="D549" s="100"/>
      <c r="E549" s="98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</row>
    <row r="550" spans="4:133" ht="16.149999999999999" thickBot="1" x14ac:dyDescent="0.55000000000000004">
      <c r="D550" s="101"/>
      <c r="E550" s="99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</row>
    <row r="551" spans="4:133" x14ac:dyDescent="0.5">
      <c r="D551" s="100"/>
      <c r="E551" s="98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</row>
    <row r="552" spans="4:133" ht="16.149999999999999" thickBot="1" x14ac:dyDescent="0.55000000000000004">
      <c r="D552" s="101"/>
      <c r="E552" s="99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</row>
    <row r="553" spans="4:133" x14ac:dyDescent="0.5">
      <c r="D553" s="100"/>
      <c r="E553" s="98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</row>
    <row r="554" spans="4:133" ht="16.149999999999999" thickBot="1" x14ac:dyDescent="0.55000000000000004">
      <c r="D554" s="101"/>
      <c r="E554" s="99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</row>
    <row r="555" spans="4:133" x14ac:dyDescent="0.5">
      <c r="D555" s="100"/>
      <c r="E555" s="98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</row>
    <row r="556" spans="4:133" ht="16.149999999999999" thickBot="1" x14ac:dyDescent="0.55000000000000004">
      <c r="D556" s="101"/>
      <c r="E556" s="99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</row>
    <row r="557" spans="4:133" x14ac:dyDescent="0.5">
      <c r="D557" s="100"/>
      <c r="E557" s="98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</row>
    <row r="558" spans="4:133" ht="16.149999999999999" thickBot="1" x14ac:dyDescent="0.55000000000000004">
      <c r="D558" s="101"/>
      <c r="E558" s="99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</row>
    <row r="559" spans="4:133" x14ac:dyDescent="0.5">
      <c r="D559" s="100"/>
      <c r="E559" s="98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</row>
    <row r="560" spans="4:133" ht="16.149999999999999" thickBot="1" x14ac:dyDescent="0.55000000000000004">
      <c r="D560" s="101"/>
      <c r="E560" s="99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</row>
    <row r="561" spans="4:133" x14ac:dyDescent="0.5">
      <c r="D561" s="100"/>
      <c r="E561" s="98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</row>
    <row r="562" spans="4:133" ht="16.149999999999999" thickBot="1" x14ac:dyDescent="0.55000000000000004">
      <c r="D562" s="101"/>
      <c r="E562" s="99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</row>
    <row r="563" spans="4:133" x14ac:dyDescent="0.5">
      <c r="D563" s="100"/>
      <c r="E563" s="98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</row>
    <row r="564" spans="4:133" ht="16.149999999999999" thickBot="1" x14ac:dyDescent="0.55000000000000004">
      <c r="D564" s="101"/>
      <c r="E564" s="99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</row>
    <row r="565" spans="4:133" x14ac:dyDescent="0.5">
      <c r="D565" s="100"/>
      <c r="E565" s="98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</row>
    <row r="566" spans="4:133" ht="16.149999999999999" thickBot="1" x14ac:dyDescent="0.55000000000000004">
      <c r="D566" s="101"/>
      <c r="E566" s="99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</row>
    <row r="567" spans="4:133" x14ac:dyDescent="0.5">
      <c r="D567" s="100"/>
      <c r="E567" s="98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</row>
    <row r="568" spans="4:133" ht="16.149999999999999" thickBot="1" x14ac:dyDescent="0.55000000000000004">
      <c r="D568" s="101"/>
      <c r="E568" s="99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</row>
    <row r="569" spans="4:133" x14ac:dyDescent="0.5">
      <c r="D569" s="100"/>
      <c r="E569" s="98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</row>
    <row r="570" spans="4:133" ht="16.149999999999999" thickBot="1" x14ac:dyDescent="0.55000000000000004">
      <c r="D570" s="101"/>
      <c r="E570" s="99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</row>
    <row r="571" spans="4:133" x14ac:dyDescent="0.5">
      <c r="D571" s="100"/>
      <c r="E571" s="98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</row>
    <row r="572" spans="4:133" ht="16.149999999999999" thickBot="1" x14ac:dyDescent="0.55000000000000004">
      <c r="D572" s="101"/>
      <c r="E572" s="99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</row>
    <row r="573" spans="4:133" x14ac:dyDescent="0.5">
      <c r="D573" s="100"/>
      <c r="E573" s="98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</row>
    <row r="574" spans="4:133" ht="16.149999999999999" thickBot="1" x14ac:dyDescent="0.55000000000000004">
      <c r="D574" s="101"/>
      <c r="E574" s="99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</row>
    <row r="575" spans="4:133" x14ac:dyDescent="0.5">
      <c r="D575" s="100"/>
      <c r="E575" s="98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</row>
    <row r="576" spans="4:133" ht="16.149999999999999" thickBot="1" x14ac:dyDescent="0.55000000000000004">
      <c r="D576" s="101"/>
      <c r="E576" s="99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</row>
    <row r="577" spans="4:133" x14ac:dyDescent="0.5">
      <c r="D577" s="100"/>
      <c r="E577" s="98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</row>
    <row r="578" spans="4:133" ht="16.149999999999999" thickBot="1" x14ac:dyDescent="0.55000000000000004">
      <c r="D578" s="101"/>
      <c r="E578" s="99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</row>
    <row r="579" spans="4:133" x14ac:dyDescent="0.5">
      <c r="D579" s="100"/>
      <c r="E579" s="98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</row>
    <row r="580" spans="4:133" ht="16.149999999999999" thickBot="1" x14ac:dyDescent="0.55000000000000004">
      <c r="D580" s="101"/>
      <c r="E580" s="99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</row>
    <row r="581" spans="4:133" x14ac:dyDescent="0.5">
      <c r="D581" s="100"/>
      <c r="E581" s="98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</row>
    <row r="582" spans="4:133" ht="16.149999999999999" thickBot="1" x14ac:dyDescent="0.55000000000000004">
      <c r="D582" s="101"/>
      <c r="E582" s="99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</row>
    <row r="583" spans="4:133" x14ac:dyDescent="0.5">
      <c r="D583" s="100"/>
      <c r="E583" s="98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</row>
    <row r="584" spans="4:133" ht="16.149999999999999" thickBot="1" x14ac:dyDescent="0.55000000000000004">
      <c r="D584" s="101"/>
      <c r="E584" s="99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</row>
    <row r="585" spans="4:133" x14ac:dyDescent="0.5">
      <c r="D585" s="100"/>
      <c r="E585" s="98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</row>
    <row r="586" spans="4:133" ht="16.149999999999999" thickBot="1" x14ac:dyDescent="0.55000000000000004">
      <c r="D586" s="101"/>
      <c r="E586" s="99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</row>
    <row r="587" spans="4:133" x14ac:dyDescent="0.5">
      <c r="D587" s="100"/>
      <c r="E587" s="98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</row>
    <row r="588" spans="4:133" ht="16.149999999999999" thickBot="1" x14ac:dyDescent="0.55000000000000004">
      <c r="D588" s="101"/>
      <c r="E588" s="99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</row>
    <row r="589" spans="4:133" x14ac:dyDescent="0.5">
      <c r="D589" s="100"/>
      <c r="E589" s="98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</row>
    <row r="590" spans="4:133" ht="16.149999999999999" thickBot="1" x14ac:dyDescent="0.55000000000000004">
      <c r="D590" s="101"/>
      <c r="E590" s="99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</row>
    <row r="591" spans="4:133" x14ac:dyDescent="0.5">
      <c r="D591" s="100"/>
      <c r="E591" s="98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</row>
    <row r="592" spans="4:133" ht="16.149999999999999" thickBot="1" x14ac:dyDescent="0.55000000000000004">
      <c r="D592" s="101"/>
      <c r="E592" s="99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</row>
    <row r="593" spans="4:133" x14ac:dyDescent="0.5">
      <c r="D593" s="100"/>
      <c r="E593" s="98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</row>
    <row r="594" spans="4:133" ht="16.149999999999999" thickBot="1" x14ac:dyDescent="0.55000000000000004">
      <c r="D594" s="101"/>
      <c r="E594" s="99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</row>
    <row r="595" spans="4:133" x14ac:dyDescent="0.5">
      <c r="D595" s="100"/>
      <c r="E595" s="98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</row>
    <row r="596" spans="4:133" ht="16.149999999999999" thickBot="1" x14ac:dyDescent="0.55000000000000004">
      <c r="D596" s="101"/>
      <c r="E596" s="99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</row>
    <row r="597" spans="4:133" x14ac:dyDescent="0.5">
      <c r="D597" s="100"/>
      <c r="E597" s="98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</row>
    <row r="598" spans="4:133" ht="16.149999999999999" thickBot="1" x14ac:dyDescent="0.55000000000000004">
      <c r="D598" s="101"/>
      <c r="E598" s="99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</row>
    <row r="599" spans="4:133" x14ac:dyDescent="0.5">
      <c r="D599" s="100"/>
      <c r="E599" s="98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</row>
    <row r="600" spans="4:133" ht="16.149999999999999" thickBot="1" x14ac:dyDescent="0.55000000000000004">
      <c r="D600" s="101"/>
      <c r="E600" s="99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</row>
    <row r="601" spans="4:133" x14ac:dyDescent="0.5">
      <c r="D601" s="100"/>
      <c r="E601" s="98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</row>
    <row r="602" spans="4:133" ht="16.149999999999999" thickBot="1" x14ac:dyDescent="0.55000000000000004">
      <c r="D602" s="101"/>
      <c r="E602" s="99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</row>
    <row r="603" spans="4:133" x14ac:dyDescent="0.5">
      <c r="D603" s="100"/>
      <c r="E603" s="98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</row>
    <row r="604" spans="4:133" ht="16.149999999999999" thickBot="1" x14ac:dyDescent="0.55000000000000004">
      <c r="D604" s="101"/>
      <c r="E604" s="99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</row>
    <row r="605" spans="4:133" x14ac:dyDescent="0.5">
      <c r="D605" s="100"/>
      <c r="E605" s="98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</row>
    <row r="606" spans="4:133" ht="16.149999999999999" thickBot="1" x14ac:dyDescent="0.55000000000000004">
      <c r="D606" s="101"/>
      <c r="E606" s="99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</row>
    <row r="607" spans="4:133" x14ac:dyDescent="0.5">
      <c r="D607" s="100"/>
      <c r="E607" s="98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</row>
    <row r="608" spans="4:133" ht="16.149999999999999" thickBot="1" x14ac:dyDescent="0.55000000000000004">
      <c r="D608" s="101"/>
      <c r="E608" s="99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</row>
    <row r="609" spans="4:133" x14ac:dyDescent="0.5">
      <c r="D609" s="100"/>
      <c r="E609" s="98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</row>
    <row r="610" spans="4:133" ht="16.149999999999999" thickBot="1" x14ac:dyDescent="0.55000000000000004">
      <c r="D610" s="101"/>
      <c r="E610" s="99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</row>
    <row r="611" spans="4:133" x14ac:dyDescent="0.5">
      <c r="D611" s="100"/>
      <c r="E611" s="98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</row>
    <row r="612" spans="4:133" ht="16.149999999999999" thickBot="1" x14ac:dyDescent="0.55000000000000004">
      <c r="D612" s="101"/>
      <c r="E612" s="99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</row>
    <row r="613" spans="4:133" x14ac:dyDescent="0.5">
      <c r="D613" s="100"/>
      <c r="E613" s="98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</row>
    <row r="614" spans="4:133" ht="16.149999999999999" thickBot="1" x14ac:dyDescent="0.55000000000000004">
      <c r="D614" s="101"/>
      <c r="E614" s="99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</row>
    <row r="615" spans="4:133" x14ac:dyDescent="0.5">
      <c r="D615" s="100"/>
      <c r="E615" s="98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</row>
    <row r="616" spans="4:133" ht="16.149999999999999" thickBot="1" x14ac:dyDescent="0.55000000000000004">
      <c r="D616" s="101"/>
      <c r="E616" s="99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</row>
    <row r="617" spans="4:133" x14ac:dyDescent="0.5">
      <c r="D617" s="100"/>
      <c r="E617" s="98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</row>
    <row r="618" spans="4:133" ht="16.149999999999999" thickBot="1" x14ac:dyDescent="0.55000000000000004">
      <c r="D618" s="101"/>
      <c r="E618" s="99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</row>
    <row r="619" spans="4:133" x14ac:dyDescent="0.5">
      <c r="D619" s="100"/>
      <c r="E619" s="98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</row>
    <row r="620" spans="4:133" ht="16.149999999999999" thickBot="1" x14ac:dyDescent="0.55000000000000004">
      <c r="D620" s="101"/>
      <c r="E620" s="99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</row>
    <row r="621" spans="4:133" x14ac:dyDescent="0.5">
      <c r="D621" s="100"/>
      <c r="E621" s="98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</row>
    <row r="622" spans="4:133" ht="16.149999999999999" thickBot="1" x14ac:dyDescent="0.55000000000000004">
      <c r="D622" s="101"/>
      <c r="E622" s="99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</row>
    <row r="623" spans="4:133" x14ac:dyDescent="0.5">
      <c r="D623" s="100"/>
      <c r="E623" s="98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</row>
    <row r="624" spans="4:133" ht="16.149999999999999" thickBot="1" x14ac:dyDescent="0.55000000000000004">
      <c r="D624" s="101"/>
      <c r="E624" s="99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</row>
    <row r="625" spans="4:133" x14ac:dyDescent="0.5">
      <c r="D625" s="100"/>
      <c r="E625" s="98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</row>
    <row r="626" spans="4:133" ht="16.149999999999999" thickBot="1" x14ac:dyDescent="0.55000000000000004">
      <c r="D626" s="101"/>
      <c r="E626" s="99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</row>
    <row r="627" spans="4:133" x14ac:dyDescent="0.5">
      <c r="D627" s="100"/>
      <c r="E627" s="98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</row>
    <row r="628" spans="4:133" ht="16.149999999999999" thickBot="1" x14ac:dyDescent="0.55000000000000004">
      <c r="D628" s="101"/>
      <c r="E628" s="99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</row>
    <row r="629" spans="4:133" x14ac:dyDescent="0.5">
      <c r="D629" s="100"/>
      <c r="E629" s="98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</row>
    <row r="630" spans="4:133" ht="16.149999999999999" thickBot="1" x14ac:dyDescent="0.55000000000000004">
      <c r="D630" s="101"/>
      <c r="E630" s="99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</row>
    <row r="631" spans="4:133" x14ac:dyDescent="0.5">
      <c r="D631" s="100"/>
      <c r="E631" s="98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</row>
    <row r="632" spans="4:133" ht="16.149999999999999" thickBot="1" x14ac:dyDescent="0.55000000000000004">
      <c r="D632" s="101"/>
      <c r="E632" s="99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</row>
    <row r="633" spans="4:133" x14ac:dyDescent="0.5">
      <c r="D633" s="100"/>
      <c r="E633" s="98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</row>
    <row r="634" spans="4:133" ht="16.149999999999999" thickBot="1" x14ac:dyDescent="0.55000000000000004">
      <c r="D634" s="101"/>
      <c r="E634" s="99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</row>
    <row r="635" spans="4:133" x14ac:dyDescent="0.5">
      <c r="D635" s="100"/>
      <c r="E635" s="98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</row>
    <row r="636" spans="4:133" ht="16.149999999999999" thickBot="1" x14ac:dyDescent="0.55000000000000004">
      <c r="D636" s="101"/>
      <c r="E636" s="99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</row>
    <row r="637" spans="4:133" x14ac:dyDescent="0.5">
      <c r="D637" s="100"/>
      <c r="E637" s="98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</row>
    <row r="638" spans="4:133" ht="16.149999999999999" thickBot="1" x14ac:dyDescent="0.55000000000000004">
      <c r="D638" s="101"/>
      <c r="E638" s="99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</row>
    <row r="639" spans="4:133" x14ac:dyDescent="0.5">
      <c r="D639" s="100"/>
      <c r="E639" s="98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</row>
    <row r="640" spans="4:133" ht="16.149999999999999" thickBot="1" x14ac:dyDescent="0.55000000000000004">
      <c r="D640" s="101"/>
      <c r="E640" s="99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</row>
    <row r="641" spans="4:133" x14ac:dyDescent="0.5">
      <c r="D641" s="100"/>
      <c r="E641" s="98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</row>
    <row r="642" spans="4:133" ht="16.149999999999999" thickBot="1" x14ac:dyDescent="0.55000000000000004">
      <c r="D642" s="101"/>
      <c r="E642" s="99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</row>
    <row r="643" spans="4:133" x14ac:dyDescent="0.5">
      <c r="D643" s="100"/>
      <c r="E643" s="98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</row>
    <row r="644" spans="4:133" ht="16.149999999999999" thickBot="1" x14ac:dyDescent="0.55000000000000004">
      <c r="D644" s="101"/>
      <c r="E644" s="99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</row>
    <row r="645" spans="4:133" x14ac:dyDescent="0.5">
      <c r="D645" s="100"/>
      <c r="E645" s="98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</row>
    <row r="646" spans="4:133" ht="16.149999999999999" thickBot="1" x14ac:dyDescent="0.55000000000000004">
      <c r="D646" s="101"/>
      <c r="E646" s="99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</row>
    <row r="647" spans="4:133" x14ac:dyDescent="0.5">
      <c r="D647" s="100"/>
      <c r="E647" s="98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</row>
    <row r="648" spans="4:133" ht="16.149999999999999" thickBot="1" x14ac:dyDescent="0.55000000000000004">
      <c r="D648" s="101"/>
      <c r="E648" s="99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</row>
    <row r="649" spans="4:133" x14ac:dyDescent="0.5">
      <c r="D649" s="100"/>
      <c r="E649" s="98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</row>
    <row r="650" spans="4:133" ht="16.149999999999999" thickBot="1" x14ac:dyDescent="0.55000000000000004">
      <c r="D650" s="101"/>
      <c r="E650" s="99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</row>
    <row r="651" spans="4:133" x14ac:dyDescent="0.5">
      <c r="D651" s="100"/>
      <c r="E651" s="98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</row>
    <row r="652" spans="4:133" ht="16.149999999999999" thickBot="1" x14ac:dyDescent="0.55000000000000004">
      <c r="D652" s="101"/>
      <c r="E652" s="99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</row>
    <row r="653" spans="4:133" x14ac:dyDescent="0.5">
      <c r="D653" s="100"/>
      <c r="E653" s="98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</row>
    <row r="654" spans="4:133" ht="16.149999999999999" thickBot="1" x14ac:dyDescent="0.55000000000000004">
      <c r="D654" s="101"/>
      <c r="E654" s="99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</row>
    <row r="655" spans="4:133" x14ac:dyDescent="0.5">
      <c r="D655" s="100"/>
      <c r="E655" s="98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</row>
    <row r="656" spans="4:133" ht="16.149999999999999" thickBot="1" x14ac:dyDescent="0.55000000000000004">
      <c r="D656" s="101"/>
      <c r="E656" s="99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</row>
    <row r="657" spans="4:133" x14ac:dyDescent="0.5">
      <c r="D657" s="100"/>
      <c r="E657" s="98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</row>
    <row r="658" spans="4:133" ht="16.149999999999999" thickBot="1" x14ac:dyDescent="0.55000000000000004">
      <c r="D658" s="101"/>
      <c r="E658" s="99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</row>
    <row r="659" spans="4:133" x14ac:dyDescent="0.5">
      <c r="D659" s="100"/>
      <c r="E659" s="98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</row>
    <row r="660" spans="4:133" ht="16.149999999999999" thickBot="1" x14ac:dyDescent="0.55000000000000004">
      <c r="D660" s="101"/>
      <c r="E660" s="99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</row>
    <row r="661" spans="4:133" x14ac:dyDescent="0.5">
      <c r="D661" s="100"/>
      <c r="E661" s="98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</row>
    <row r="662" spans="4:133" ht="16.149999999999999" thickBot="1" x14ac:dyDescent="0.55000000000000004">
      <c r="D662" s="101"/>
      <c r="E662" s="99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</row>
    <row r="663" spans="4:133" x14ac:dyDescent="0.5">
      <c r="D663" s="100"/>
      <c r="E663" s="98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</row>
    <row r="664" spans="4:133" ht="16.149999999999999" thickBot="1" x14ac:dyDescent="0.55000000000000004">
      <c r="D664" s="101"/>
      <c r="E664" s="99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</row>
    <row r="665" spans="4:133" x14ac:dyDescent="0.5">
      <c r="D665" s="100"/>
      <c r="E665" s="98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</row>
    <row r="666" spans="4:133" ht="16.149999999999999" thickBot="1" x14ac:dyDescent="0.55000000000000004">
      <c r="D666" s="101"/>
      <c r="E666" s="99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</row>
    <row r="667" spans="4:133" x14ac:dyDescent="0.5">
      <c r="D667" s="100"/>
      <c r="E667" s="98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</row>
    <row r="668" spans="4:133" ht="16.149999999999999" thickBot="1" x14ac:dyDescent="0.55000000000000004">
      <c r="D668" s="101"/>
      <c r="E668" s="99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</row>
    <row r="669" spans="4:133" x14ac:dyDescent="0.5">
      <c r="D669" s="100"/>
      <c r="E669" s="98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</row>
    <row r="670" spans="4:133" ht="16.149999999999999" thickBot="1" x14ac:dyDescent="0.55000000000000004">
      <c r="D670" s="101"/>
      <c r="E670" s="99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</row>
    <row r="671" spans="4:133" x14ac:dyDescent="0.5">
      <c r="D671" s="100"/>
      <c r="E671" s="98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</row>
    <row r="672" spans="4:133" ht="16.149999999999999" thickBot="1" x14ac:dyDescent="0.55000000000000004">
      <c r="D672" s="101"/>
      <c r="E672" s="99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</row>
    <row r="673" spans="4:133" x14ac:dyDescent="0.5">
      <c r="D673" s="100"/>
      <c r="E673" s="98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</row>
    <row r="674" spans="4:133" ht="16.149999999999999" thickBot="1" x14ac:dyDescent="0.55000000000000004">
      <c r="D674" s="101"/>
      <c r="E674" s="99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</row>
    <row r="675" spans="4:133" x14ac:dyDescent="0.5">
      <c r="D675" s="100"/>
      <c r="E675" s="98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</row>
    <row r="676" spans="4:133" ht="16.149999999999999" thickBot="1" x14ac:dyDescent="0.55000000000000004">
      <c r="D676" s="101"/>
      <c r="E676" s="99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</row>
    <row r="677" spans="4:133" x14ac:dyDescent="0.5">
      <c r="D677" s="100"/>
      <c r="E677" s="98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</row>
    <row r="678" spans="4:133" ht="16.149999999999999" thickBot="1" x14ac:dyDescent="0.55000000000000004">
      <c r="D678" s="101"/>
      <c r="E678" s="99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</row>
    <row r="679" spans="4:133" x14ac:dyDescent="0.5">
      <c r="D679" s="100"/>
      <c r="E679" s="98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</row>
    <row r="680" spans="4:133" ht="16.149999999999999" thickBot="1" x14ac:dyDescent="0.55000000000000004">
      <c r="D680" s="101"/>
      <c r="E680" s="99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</row>
    <row r="681" spans="4:133" x14ac:dyDescent="0.5">
      <c r="D681" s="100"/>
      <c r="E681" s="98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</row>
    <row r="682" spans="4:133" ht="16.149999999999999" thickBot="1" x14ac:dyDescent="0.55000000000000004">
      <c r="D682" s="101"/>
      <c r="E682" s="99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</row>
    <row r="683" spans="4:133" x14ac:dyDescent="0.5">
      <c r="D683" s="100"/>
      <c r="E683" s="98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</row>
    <row r="684" spans="4:133" ht="16.149999999999999" thickBot="1" x14ac:dyDescent="0.55000000000000004">
      <c r="D684" s="101"/>
      <c r="E684" s="99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</row>
    <row r="685" spans="4:133" x14ac:dyDescent="0.5">
      <c r="D685" s="100"/>
      <c r="E685" s="98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</row>
    <row r="686" spans="4:133" ht="16.149999999999999" thickBot="1" x14ac:dyDescent="0.55000000000000004">
      <c r="D686" s="101"/>
      <c r="E686" s="99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</row>
    <row r="687" spans="4:133" x14ac:dyDescent="0.5">
      <c r="D687" s="100"/>
      <c r="E687" s="98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</row>
    <row r="688" spans="4:133" ht="16.149999999999999" thickBot="1" x14ac:dyDescent="0.55000000000000004">
      <c r="D688" s="101"/>
      <c r="E688" s="99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</row>
    <row r="689" spans="4:133" x14ac:dyDescent="0.5">
      <c r="D689" s="100"/>
      <c r="E689" s="98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</row>
    <row r="690" spans="4:133" ht="16.149999999999999" thickBot="1" x14ac:dyDescent="0.55000000000000004">
      <c r="D690" s="101"/>
      <c r="E690" s="99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</row>
    <row r="691" spans="4:133" x14ac:dyDescent="0.5">
      <c r="D691" s="100"/>
      <c r="E691" s="98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</row>
    <row r="692" spans="4:133" ht="16.149999999999999" thickBot="1" x14ac:dyDescent="0.55000000000000004">
      <c r="D692" s="101"/>
      <c r="E692" s="99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</row>
    <row r="693" spans="4:133" x14ac:dyDescent="0.5">
      <c r="D693" s="100"/>
      <c r="E693" s="98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</row>
    <row r="694" spans="4:133" ht="16.149999999999999" thickBot="1" x14ac:dyDescent="0.55000000000000004">
      <c r="D694" s="101"/>
      <c r="E694" s="99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</row>
    <row r="695" spans="4:133" x14ac:dyDescent="0.5">
      <c r="D695" s="100"/>
      <c r="E695" s="98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</row>
    <row r="696" spans="4:133" ht="16.149999999999999" thickBot="1" x14ac:dyDescent="0.55000000000000004">
      <c r="D696" s="101"/>
      <c r="E696" s="99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</row>
    <row r="697" spans="4:133" x14ac:dyDescent="0.5">
      <c r="D697" s="100"/>
      <c r="E697" s="98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</row>
    <row r="698" spans="4:133" ht="16.149999999999999" thickBot="1" x14ac:dyDescent="0.55000000000000004">
      <c r="D698" s="101"/>
      <c r="E698" s="99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</row>
    <row r="699" spans="4:133" x14ac:dyDescent="0.5">
      <c r="D699" s="100"/>
      <c r="E699" s="98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</row>
    <row r="700" spans="4:133" ht="16.149999999999999" thickBot="1" x14ac:dyDescent="0.55000000000000004">
      <c r="D700" s="101"/>
      <c r="E700" s="99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</row>
    <row r="701" spans="4:133" x14ac:dyDescent="0.5">
      <c r="D701" s="100"/>
      <c r="E701" s="98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</row>
    <row r="702" spans="4:133" ht="16.149999999999999" thickBot="1" x14ac:dyDescent="0.55000000000000004">
      <c r="D702" s="101"/>
      <c r="E702" s="99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</row>
    <row r="703" spans="4:133" x14ac:dyDescent="0.5">
      <c r="D703" s="100"/>
      <c r="E703" s="98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</row>
    <row r="704" spans="4:133" ht="16.149999999999999" thickBot="1" x14ac:dyDescent="0.55000000000000004">
      <c r="D704" s="101"/>
      <c r="E704" s="99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</row>
    <row r="705" spans="4:133" x14ac:dyDescent="0.5">
      <c r="D705" s="100"/>
      <c r="E705" s="98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</row>
    <row r="706" spans="4:133" ht="16.149999999999999" thickBot="1" x14ac:dyDescent="0.55000000000000004">
      <c r="D706" s="101"/>
      <c r="E706" s="99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</row>
    <row r="707" spans="4:133" x14ac:dyDescent="0.5">
      <c r="D707" s="100"/>
      <c r="E707" s="98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</row>
    <row r="708" spans="4:133" ht="16.149999999999999" thickBot="1" x14ac:dyDescent="0.55000000000000004">
      <c r="D708" s="101"/>
      <c r="E708" s="99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</row>
    <row r="709" spans="4:133" x14ac:dyDescent="0.5">
      <c r="D709" s="100"/>
      <c r="E709" s="98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</row>
    <row r="710" spans="4:133" ht="16.149999999999999" thickBot="1" x14ac:dyDescent="0.55000000000000004">
      <c r="D710" s="101"/>
      <c r="E710" s="99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</row>
    <row r="711" spans="4:133" x14ac:dyDescent="0.5">
      <c r="D711" s="100"/>
      <c r="E711" s="98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</row>
    <row r="712" spans="4:133" ht="16.149999999999999" thickBot="1" x14ac:dyDescent="0.55000000000000004">
      <c r="D712" s="101"/>
      <c r="E712" s="99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</row>
    <row r="713" spans="4:133" x14ac:dyDescent="0.5">
      <c r="D713" s="100"/>
      <c r="E713" s="98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</row>
    <row r="714" spans="4:133" ht="16.149999999999999" thickBot="1" x14ac:dyDescent="0.55000000000000004">
      <c r="D714" s="101"/>
      <c r="E714" s="99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</row>
    <row r="715" spans="4:133" x14ac:dyDescent="0.5">
      <c r="D715" s="100"/>
      <c r="E715" s="98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</row>
    <row r="716" spans="4:133" ht="16.149999999999999" thickBot="1" x14ac:dyDescent="0.55000000000000004">
      <c r="D716" s="101"/>
      <c r="E716" s="99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</row>
    <row r="717" spans="4:133" x14ac:dyDescent="0.5">
      <c r="D717" s="100"/>
      <c r="E717" s="98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</row>
    <row r="718" spans="4:133" ht="16.149999999999999" thickBot="1" x14ac:dyDescent="0.55000000000000004">
      <c r="D718" s="101"/>
      <c r="E718" s="99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</row>
    <row r="719" spans="4:133" x14ac:dyDescent="0.5">
      <c r="D719" s="100"/>
      <c r="E719" s="98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</row>
    <row r="720" spans="4:133" ht="16.149999999999999" thickBot="1" x14ac:dyDescent="0.55000000000000004">
      <c r="D720" s="101"/>
      <c r="E720" s="99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</row>
    <row r="721" spans="4:133" x14ac:dyDescent="0.5">
      <c r="D721" s="100"/>
      <c r="E721" s="98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</row>
    <row r="722" spans="4:133" ht="16.149999999999999" thickBot="1" x14ac:dyDescent="0.55000000000000004">
      <c r="D722" s="101"/>
      <c r="E722" s="99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</row>
    <row r="723" spans="4:133" x14ac:dyDescent="0.5">
      <c r="D723" s="100"/>
      <c r="E723" s="98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</row>
    <row r="724" spans="4:133" ht="16.149999999999999" thickBot="1" x14ac:dyDescent="0.55000000000000004">
      <c r="D724" s="101"/>
      <c r="E724" s="99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</row>
    <row r="725" spans="4:133" x14ac:dyDescent="0.5">
      <c r="D725" s="100"/>
      <c r="E725" s="98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</row>
    <row r="726" spans="4:133" ht="16.149999999999999" thickBot="1" x14ac:dyDescent="0.55000000000000004">
      <c r="D726" s="101"/>
      <c r="E726" s="99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</row>
    <row r="727" spans="4:133" x14ac:dyDescent="0.5">
      <c r="D727" s="100"/>
      <c r="E727" s="98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</row>
    <row r="728" spans="4:133" ht="16.149999999999999" thickBot="1" x14ac:dyDescent="0.55000000000000004">
      <c r="D728" s="101"/>
      <c r="E728" s="99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</row>
    <row r="729" spans="4:133" x14ac:dyDescent="0.5">
      <c r="D729" s="100"/>
      <c r="E729" s="98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</row>
    <row r="730" spans="4:133" ht="16.149999999999999" thickBot="1" x14ac:dyDescent="0.55000000000000004">
      <c r="D730" s="101"/>
      <c r="E730" s="99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</row>
    <row r="731" spans="4:133" x14ac:dyDescent="0.5">
      <c r="D731" s="100"/>
      <c r="E731" s="98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</row>
    <row r="732" spans="4:133" ht="16.149999999999999" thickBot="1" x14ac:dyDescent="0.55000000000000004">
      <c r="D732" s="101"/>
      <c r="E732" s="99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</row>
    <row r="733" spans="4:133" x14ac:dyDescent="0.5">
      <c r="D733" s="100"/>
      <c r="E733" s="98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</row>
    <row r="734" spans="4:133" ht="16.149999999999999" thickBot="1" x14ac:dyDescent="0.55000000000000004">
      <c r="D734" s="101"/>
      <c r="E734" s="99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</row>
    <row r="735" spans="4:133" x14ac:dyDescent="0.5">
      <c r="D735" s="100"/>
      <c r="E735" s="98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</row>
    <row r="736" spans="4:133" ht="16.149999999999999" thickBot="1" x14ac:dyDescent="0.55000000000000004">
      <c r="D736" s="101"/>
      <c r="E736" s="99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</row>
    <row r="737" spans="4:133" x14ac:dyDescent="0.5">
      <c r="D737" s="100"/>
      <c r="E737" s="98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</row>
    <row r="738" spans="4:133" ht="16.149999999999999" thickBot="1" x14ac:dyDescent="0.55000000000000004">
      <c r="D738" s="101"/>
      <c r="E738" s="99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</row>
    <row r="739" spans="4:133" x14ac:dyDescent="0.5">
      <c r="D739" s="100"/>
      <c r="E739" s="98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</row>
    <row r="740" spans="4:133" ht="16.149999999999999" thickBot="1" x14ac:dyDescent="0.55000000000000004">
      <c r="D740" s="101"/>
      <c r="E740" s="99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</row>
    <row r="741" spans="4:133" x14ac:dyDescent="0.5">
      <c r="D741" s="100"/>
      <c r="E741" s="98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</row>
    <row r="742" spans="4:133" ht="16.149999999999999" thickBot="1" x14ac:dyDescent="0.55000000000000004">
      <c r="D742" s="101"/>
      <c r="E742" s="99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</row>
    <row r="743" spans="4:133" x14ac:dyDescent="0.5">
      <c r="D743" s="100"/>
      <c r="E743" s="98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</row>
    <row r="744" spans="4:133" ht="16.149999999999999" thickBot="1" x14ac:dyDescent="0.55000000000000004">
      <c r="D744" s="101"/>
      <c r="E744" s="99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</row>
    <row r="745" spans="4:133" x14ac:dyDescent="0.5">
      <c r="D745" s="100"/>
      <c r="E745" s="98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</row>
    <row r="746" spans="4:133" ht="16.149999999999999" thickBot="1" x14ac:dyDescent="0.55000000000000004">
      <c r="D746" s="101"/>
      <c r="E746" s="99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</row>
    <row r="747" spans="4:133" x14ac:dyDescent="0.5">
      <c r="D747" s="100"/>
      <c r="E747" s="98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</row>
    <row r="748" spans="4:133" ht="16.149999999999999" thickBot="1" x14ac:dyDescent="0.55000000000000004">
      <c r="D748" s="101"/>
      <c r="E748" s="99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</row>
    <row r="749" spans="4:133" x14ac:dyDescent="0.5">
      <c r="D749" s="100"/>
      <c r="E749" s="98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</row>
    <row r="750" spans="4:133" ht="16.149999999999999" thickBot="1" x14ac:dyDescent="0.55000000000000004">
      <c r="D750" s="101"/>
      <c r="E750" s="99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</row>
    <row r="751" spans="4:133" x14ac:dyDescent="0.5">
      <c r="D751" s="100"/>
      <c r="E751" s="98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</row>
    <row r="752" spans="4:133" ht="16.149999999999999" thickBot="1" x14ac:dyDescent="0.55000000000000004">
      <c r="D752" s="101"/>
      <c r="E752" s="99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</row>
    <row r="753" spans="4:133" x14ac:dyDescent="0.5">
      <c r="D753" s="100"/>
      <c r="E753" s="98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</row>
    <row r="754" spans="4:133" ht="16.149999999999999" thickBot="1" x14ac:dyDescent="0.55000000000000004">
      <c r="D754" s="101"/>
      <c r="E754" s="99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</row>
    <row r="755" spans="4:133" x14ac:dyDescent="0.5">
      <c r="D755" s="100"/>
      <c r="E755" s="98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</row>
    <row r="756" spans="4:133" ht="16.149999999999999" thickBot="1" x14ac:dyDescent="0.55000000000000004">
      <c r="D756" s="101"/>
      <c r="E756" s="99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</row>
    <row r="757" spans="4:133" x14ac:dyDescent="0.5">
      <c r="D757" s="100"/>
      <c r="E757" s="98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</row>
    <row r="758" spans="4:133" ht="16.149999999999999" thickBot="1" x14ac:dyDescent="0.55000000000000004">
      <c r="D758" s="101"/>
      <c r="E758" s="99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</row>
    <row r="759" spans="4:133" x14ac:dyDescent="0.5">
      <c r="D759" s="100"/>
      <c r="E759" s="98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</row>
    <row r="760" spans="4:133" ht="16.149999999999999" thickBot="1" x14ac:dyDescent="0.55000000000000004">
      <c r="D760" s="101"/>
      <c r="E760" s="99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</row>
    <row r="761" spans="4:133" x14ac:dyDescent="0.5">
      <c r="D761" s="100"/>
      <c r="E761" s="98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</row>
    <row r="762" spans="4:133" ht="16.149999999999999" thickBot="1" x14ac:dyDescent="0.55000000000000004">
      <c r="D762" s="101"/>
      <c r="E762" s="99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</row>
    <row r="763" spans="4:133" x14ac:dyDescent="0.5">
      <c r="D763" s="100"/>
      <c r="E763" s="98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</row>
    <row r="764" spans="4:133" ht="16.149999999999999" thickBot="1" x14ac:dyDescent="0.55000000000000004">
      <c r="D764" s="101"/>
      <c r="E764" s="99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</row>
    <row r="765" spans="4:133" x14ac:dyDescent="0.5">
      <c r="D765" s="100"/>
      <c r="E765" s="98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</row>
    <row r="766" spans="4:133" ht="16.149999999999999" thickBot="1" x14ac:dyDescent="0.55000000000000004">
      <c r="D766" s="101"/>
      <c r="E766" s="99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</row>
    <row r="767" spans="4:133" x14ac:dyDescent="0.5">
      <c r="D767" s="100"/>
      <c r="E767" s="98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</row>
    <row r="768" spans="4:133" ht="16.149999999999999" thickBot="1" x14ac:dyDescent="0.55000000000000004">
      <c r="D768" s="101"/>
      <c r="E768" s="99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</row>
    <row r="769" spans="4:133" x14ac:dyDescent="0.5">
      <c r="D769" s="100"/>
      <c r="E769" s="98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</row>
    <row r="770" spans="4:133" ht="16.149999999999999" thickBot="1" x14ac:dyDescent="0.55000000000000004">
      <c r="D770" s="101"/>
      <c r="E770" s="99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</row>
    <row r="771" spans="4:133" x14ac:dyDescent="0.5">
      <c r="D771" s="100"/>
      <c r="E771" s="98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</row>
    <row r="772" spans="4:133" ht="16.149999999999999" thickBot="1" x14ac:dyDescent="0.55000000000000004">
      <c r="D772" s="101"/>
      <c r="E772" s="99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</row>
    <row r="773" spans="4:133" x14ac:dyDescent="0.5">
      <c r="D773" s="100"/>
      <c r="E773" s="98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</row>
    <row r="774" spans="4:133" ht="16.149999999999999" thickBot="1" x14ac:dyDescent="0.55000000000000004">
      <c r="D774" s="101"/>
      <c r="E774" s="99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</row>
    <row r="775" spans="4:133" x14ac:dyDescent="0.5">
      <c r="D775" s="100"/>
      <c r="E775" s="98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</row>
    <row r="776" spans="4:133" ht="16.149999999999999" thickBot="1" x14ac:dyDescent="0.55000000000000004">
      <c r="D776" s="101"/>
      <c r="E776" s="99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</row>
    <row r="777" spans="4:133" x14ac:dyDescent="0.5">
      <c r="D777" s="100"/>
      <c r="E777" s="98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</row>
    <row r="778" spans="4:133" ht="16.149999999999999" thickBot="1" x14ac:dyDescent="0.55000000000000004">
      <c r="D778" s="101"/>
      <c r="E778" s="99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</row>
    <row r="779" spans="4:133" x14ac:dyDescent="0.5">
      <c r="D779" s="100"/>
      <c r="E779" s="98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</row>
    <row r="780" spans="4:133" ht="16.149999999999999" thickBot="1" x14ac:dyDescent="0.55000000000000004">
      <c r="D780" s="101"/>
      <c r="E780" s="99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</row>
    <row r="781" spans="4:133" x14ac:dyDescent="0.5">
      <c r="D781" s="100"/>
      <c r="E781" s="98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</row>
    <row r="782" spans="4:133" ht="16.149999999999999" thickBot="1" x14ac:dyDescent="0.55000000000000004">
      <c r="D782" s="101"/>
      <c r="E782" s="99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</row>
    <row r="783" spans="4:133" x14ac:dyDescent="0.5">
      <c r="D783" s="100"/>
      <c r="E783" s="98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</row>
    <row r="784" spans="4:133" ht="16.149999999999999" thickBot="1" x14ac:dyDescent="0.55000000000000004">
      <c r="D784" s="101"/>
      <c r="E784" s="99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</row>
    <row r="785" spans="4:133" x14ac:dyDescent="0.5">
      <c r="D785" s="100"/>
      <c r="E785" s="98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</row>
    <row r="786" spans="4:133" ht="16.149999999999999" thickBot="1" x14ac:dyDescent="0.55000000000000004">
      <c r="D786" s="101"/>
      <c r="E786" s="99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</row>
    <row r="787" spans="4:133" x14ac:dyDescent="0.5">
      <c r="D787" s="100"/>
      <c r="E787" s="98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</row>
    <row r="788" spans="4:133" ht="16.149999999999999" thickBot="1" x14ac:dyDescent="0.55000000000000004">
      <c r="D788" s="101"/>
      <c r="E788" s="99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</row>
    <row r="789" spans="4:133" x14ac:dyDescent="0.5">
      <c r="D789" s="100"/>
      <c r="E789" s="98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</row>
    <row r="790" spans="4:133" ht="16.149999999999999" thickBot="1" x14ac:dyDescent="0.55000000000000004">
      <c r="D790" s="101"/>
      <c r="E790" s="99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</row>
    <row r="791" spans="4:133" x14ac:dyDescent="0.5">
      <c r="D791" s="100"/>
      <c r="E791" s="98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</row>
    <row r="792" spans="4:133" ht="16.149999999999999" thickBot="1" x14ac:dyDescent="0.55000000000000004">
      <c r="D792" s="101"/>
      <c r="E792" s="99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</row>
    <row r="793" spans="4:133" x14ac:dyDescent="0.5">
      <c r="D793" s="100"/>
      <c r="E793" s="98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</row>
    <row r="794" spans="4:133" ht="16.149999999999999" thickBot="1" x14ac:dyDescent="0.55000000000000004">
      <c r="D794" s="101"/>
      <c r="E794" s="99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</row>
    <row r="795" spans="4:133" x14ac:dyDescent="0.5">
      <c r="D795" s="100"/>
      <c r="E795" s="98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</row>
    <row r="796" spans="4:133" ht="16.149999999999999" thickBot="1" x14ac:dyDescent="0.55000000000000004">
      <c r="D796" s="101"/>
      <c r="E796" s="99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</row>
    <row r="797" spans="4:133" x14ac:dyDescent="0.5">
      <c r="D797" s="100"/>
      <c r="E797" s="98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</row>
    <row r="798" spans="4:133" ht="16.149999999999999" thickBot="1" x14ac:dyDescent="0.55000000000000004">
      <c r="D798" s="101"/>
      <c r="E798" s="99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</row>
    <row r="799" spans="4:133" x14ac:dyDescent="0.5">
      <c r="D799" s="100"/>
      <c r="E799" s="98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</row>
    <row r="800" spans="4:133" ht="16.149999999999999" thickBot="1" x14ac:dyDescent="0.55000000000000004">
      <c r="D800" s="101"/>
      <c r="E800" s="99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</row>
    <row r="801" spans="4:133" x14ac:dyDescent="0.5">
      <c r="D801" s="100"/>
      <c r="E801" s="98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</row>
    <row r="802" spans="4:133" ht="16.149999999999999" thickBot="1" x14ac:dyDescent="0.55000000000000004">
      <c r="D802" s="101"/>
      <c r="E802" s="99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</row>
    <row r="803" spans="4:133" x14ac:dyDescent="0.5">
      <c r="D803" s="100"/>
      <c r="E803" s="98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</row>
    <row r="804" spans="4:133" ht="16.149999999999999" thickBot="1" x14ac:dyDescent="0.55000000000000004">
      <c r="D804" s="101"/>
      <c r="E804" s="99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</row>
    <row r="805" spans="4:133" x14ac:dyDescent="0.5">
      <c r="D805" s="100"/>
      <c r="E805" s="98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</row>
    <row r="806" spans="4:133" ht="16.149999999999999" thickBot="1" x14ac:dyDescent="0.55000000000000004">
      <c r="D806" s="101"/>
      <c r="E806" s="99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</row>
    <row r="807" spans="4:133" x14ac:dyDescent="0.5">
      <c r="D807" s="100"/>
      <c r="E807" s="98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</row>
    <row r="808" spans="4:133" ht="16.149999999999999" thickBot="1" x14ac:dyDescent="0.55000000000000004">
      <c r="D808" s="101"/>
      <c r="E808" s="99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</row>
    <row r="809" spans="4:133" x14ac:dyDescent="0.5">
      <c r="D809" s="100"/>
      <c r="E809" s="98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</row>
    <row r="810" spans="4:133" ht="16.149999999999999" thickBot="1" x14ac:dyDescent="0.55000000000000004">
      <c r="D810" s="101"/>
      <c r="E810" s="99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</row>
    <row r="811" spans="4:133" x14ac:dyDescent="0.5">
      <c r="D811" s="100"/>
      <c r="E811" s="98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</row>
    <row r="812" spans="4:133" ht="16.149999999999999" thickBot="1" x14ac:dyDescent="0.55000000000000004">
      <c r="D812" s="101"/>
      <c r="E812" s="99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</row>
    <row r="813" spans="4:133" x14ac:dyDescent="0.5">
      <c r="D813" s="100"/>
      <c r="E813" s="98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</row>
    <row r="814" spans="4:133" ht="16.149999999999999" thickBot="1" x14ac:dyDescent="0.55000000000000004">
      <c r="D814" s="101"/>
      <c r="E814" s="99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</row>
    <row r="815" spans="4:133" x14ac:dyDescent="0.5">
      <c r="D815" s="100"/>
      <c r="E815" s="98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</row>
    <row r="816" spans="4:133" ht="16.149999999999999" thickBot="1" x14ac:dyDescent="0.55000000000000004">
      <c r="D816" s="101"/>
      <c r="E816" s="99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</row>
    <row r="817" spans="4:133" x14ac:dyDescent="0.5">
      <c r="D817" s="100"/>
      <c r="E817" s="98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</row>
    <row r="818" spans="4:133" ht="16.149999999999999" thickBot="1" x14ac:dyDescent="0.55000000000000004">
      <c r="D818" s="101"/>
      <c r="E818" s="99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</row>
    <row r="819" spans="4:133" x14ac:dyDescent="0.5">
      <c r="D819" s="100"/>
      <c r="E819" s="98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</row>
    <row r="820" spans="4:133" ht="16.149999999999999" thickBot="1" x14ac:dyDescent="0.55000000000000004">
      <c r="D820" s="101"/>
      <c r="E820" s="99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</row>
    <row r="821" spans="4:133" x14ac:dyDescent="0.5">
      <c r="D821" s="100"/>
      <c r="E821" s="98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</row>
    <row r="822" spans="4:133" ht="16.149999999999999" thickBot="1" x14ac:dyDescent="0.55000000000000004">
      <c r="D822" s="101"/>
      <c r="E822" s="99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</row>
    <row r="823" spans="4:133" x14ac:dyDescent="0.5">
      <c r="D823" s="100"/>
      <c r="E823" s="98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</row>
    <row r="824" spans="4:133" ht="16.149999999999999" thickBot="1" x14ac:dyDescent="0.55000000000000004">
      <c r="D824" s="101"/>
      <c r="E824" s="99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</row>
    <row r="825" spans="4:133" x14ac:dyDescent="0.5">
      <c r="D825" s="100"/>
      <c r="E825" s="98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</row>
    <row r="826" spans="4:133" ht="16.149999999999999" thickBot="1" x14ac:dyDescent="0.55000000000000004">
      <c r="D826" s="101"/>
      <c r="E826" s="99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</row>
    <row r="827" spans="4:133" x14ac:dyDescent="0.5">
      <c r="D827" s="100"/>
      <c r="E827" s="98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</row>
    <row r="828" spans="4:133" ht="16.149999999999999" thickBot="1" x14ac:dyDescent="0.55000000000000004">
      <c r="D828" s="101"/>
      <c r="E828" s="99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</row>
    <row r="829" spans="4:133" x14ac:dyDescent="0.5">
      <c r="D829" s="100"/>
      <c r="E829" s="98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</row>
    <row r="830" spans="4:133" ht="16.149999999999999" thickBot="1" x14ac:dyDescent="0.55000000000000004">
      <c r="D830" s="101"/>
      <c r="E830" s="99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  <c r="EA830" s="4"/>
      <c r="EB830" s="4"/>
      <c r="EC830" s="4"/>
    </row>
    <row r="831" spans="4:133" x14ac:dyDescent="0.5">
      <c r="D831" s="100"/>
      <c r="E831" s="98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  <c r="EA831" s="4"/>
      <c r="EB831" s="4"/>
      <c r="EC831" s="4"/>
    </row>
    <row r="832" spans="4:133" ht="16.149999999999999" thickBot="1" x14ac:dyDescent="0.55000000000000004">
      <c r="D832" s="101"/>
      <c r="E832" s="99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  <c r="EA832" s="4"/>
      <c r="EB832" s="4"/>
      <c r="EC832" s="4"/>
    </row>
    <row r="833" spans="4:133" x14ac:dyDescent="0.5">
      <c r="D833" s="100"/>
      <c r="E833" s="98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  <c r="EA833" s="4"/>
      <c r="EB833" s="4"/>
      <c r="EC833" s="4"/>
    </row>
    <row r="834" spans="4:133" ht="16.149999999999999" thickBot="1" x14ac:dyDescent="0.55000000000000004">
      <c r="D834" s="101"/>
      <c r="E834" s="99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  <c r="EA834" s="4"/>
      <c r="EB834" s="4"/>
      <c r="EC834" s="4"/>
    </row>
    <row r="835" spans="4:133" x14ac:dyDescent="0.5">
      <c r="D835" s="100"/>
      <c r="E835" s="98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  <c r="EA835" s="4"/>
      <c r="EB835" s="4"/>
      <c r="EC835" s="4"/>
    </row>
    <row r="836" spans="4:133" ht="16.149999999999999" thickBot="1" x14ac:dyDescent="0.55000000000000004">
      <c r="D836" s="101"/>
      <c r="E836" s="99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  <c r="EA836" s="4"/>
      <c r="EB836" s="4"/>
      <c r="EC836" s="4"/>
    </row>
    <row r="837" spans="4:133" x14ac:dyDescent="0.5">
      <c r="D837" s="100"/>
      <c r="E837" s="98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  <c r="EA837" s="4"/>
      <c r="EB837" s="4"/>
      <c r="EC837" s="4"/>
    </row>
    <row r="838" spans="4:133" ht="16.149999999999999" thickBot="1" x14ac:dyDescent="0.55000000000000004">
      <c r="D838" s="101"/>
      <c r="E838" s="99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  <c r="EA838" s="4"/>
      <c r="EB838" s="4"/>
      <c r="EC838" s="4"/>
    </row>
    <row r="839" spans="4:133" x14ac:dyDescent="0.5">
      <c r="D839" s="100"/>
      <c r="E839" s="98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  <c r="BV839" s="4"/>
      <c r="BW839" s="4"/>
      <c r="BX839" s="4"/>
      <c r="BY839" s="4"/>
      <c r="BZ839" s="4"/>
      <c r="CA839" s="4"/>
      <c r="CB839" s="4"/>
      <c r="CC839" s="4"/>
      <c r="CD839" s="4"/>
      <c r="CE839" s="4"/>
      <c r="CF839" s="4"/>
      <c r="CG839" s="4"/>
      <c r="CH839" s="4"/>
      <c r="CI839" s="4"/>
      <c r="CJ839" s="4"/>
      <c r="CK839" s="4"/>
      <c r="CL839" s="4"/>
      <c r="CM839" s="4"/>
      <c r="CN839" s="4"/>
      <c r="CO839" s="4"/>
      <c r="CP839" s="4"/>
      <c r="CQ839" s="4"/>
      <c r="CR839" s="4"/>
      <c r="CS839" s="4"/>
      <c r="CT839" s="4"/>
      <c r="CU839" s="4"/>
      <c r="CV839" s="4"/>
      <c r="CW839" s="4"/>
      <c r="CX839" s="4"/>
      <c r="CY839" s="4"/>
      <c r="CZ839" s="4"/>
      <c r="DA839" s="4"/>
      <c r="DB839" s="4"/>
      <c r="DC839" s="4"/>
      <c r="DD839" s="4"/>
      <c r="DE839" s="4"/>
      <c r="DF839" s="4"/>
      <c r="DG839" s="4"/>
      <c r="DH839" s="4"/>
      <c r="DI839" s="4"/>
      <c r="DJ839" s="4"/>
      <c r="DK839" s="4"/>
      <c r="DL839" s="4"/>
      <c r="DM839" s="4"/>
      <c r="DN839" s="4"/>
      <c r="DO839" s="4"/>
      <c r="DP839" s="4"/>
      <c r="DQ839" s="4"/>
      <c r="DR839" s="4"/>
      <c r="DS839" s="4"/>
      <c r="DT839" s="4"/>
      <c r="DU839" s="4"/>
      <c r="DV839" s="4"/>
      <c r="DW839" s="4"/>
      <c r="DX839" s="4"/>
      <c r="DY839" s="4"/>
      <c r="DZ839" s="4"/>
      <c r="EA839" s="4"/>
      <c r="EB839" s="4"/>
      <c r="EC839" s="4"/>
    </row>
    <row r="840" spans="4:133" ht="16.149999999999999" thickBot="1" x14ac:dyDescent="0.55000000000000004">
      <c r="D840" s="101"/>
      <c r="E840" s="99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  <c r="EA840" s="4"/>
      <c r="EB840" s="4"/>
      <c r="EC840" s="4"/>
    </row>
    <row r="841" spans="4:133" x14ac:dyDescent="0.5">
      <c r="D841" s="100"/>
      <c r="E841" s="98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  <c r="EA841" s="4"/>
      <c r="EB841" s="4"/>
      <c r="EC841" s="4"/>
    </row>
    <row r="842" spans="4:133" ht="16.149999999999999" thickBot="1" x14ac:dyDescent="0.55000000000000004">
      <c r="D842" s="101"/>
      <c r="E842" s="99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  <c r="EA842" s="4"/>
      <c r="EB842" s="4"/>
      <c r="EC842" s="4"/>
    </row>
    <row r="843" spans="4:133" x14ac:dyDescent="0.5">
      <c r="D843" s="100"/>
      <c r="E843" s="98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</row>
    <row r="844" spans="4:133" ht="16.149999999999999" thickBot="1" x14ac:dyDescent="0.55000000000000004">
      <c r="D844" s="101"/>
      <c r="E844" s="99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  <c r="EA844" s="4"/>
      <c r="EB844" s="4"/>
      <c r="EC844" s="4"/>
    </row>
    <row r="845" spans="4:133" x14ac:dyDescent="0.5">
      <c r="D845" s="100"/>
      <c r="E845" s="98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  <c r="EA845" s="4"/>
      <c r="EB845" s="4"/>
      <c r="EC845" s="4"/>
    </row>
    <row r="846" spans="4:133" ht="16.149999999999999" thickBot="1" x14ac:dyDescent="0.55000000000000004">
      <c r="D846" s="101"/>
      <c r="E846" s="99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  <c r="EA846" s="4"/>
      <c r="EB846" s="4"/>
      <c r="EC846" s="4"/>
    </row>
    <row r="847" spans="4:133" x14ac:dyDescent="0.5">
      <c r="D847" s="100"/>
      <c r="E847" s="98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  <c r="EA847" s="4"/>
      <c r="EB847" s="4"/>
      <c r="EC847" s="4"/>
    </row>
    <row r="848" spans="4:133" ht="16.149999999999999" thickBot="1" x14ac:dyDescent="0.55000000000000004">
      <c r="D848" s="101"/>
      <c r="E848" s="99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  <c r="EA848" s="4"/>
      <c r="EB848" s="4"/>
      <c r="EC848" s="4"/>
    </row>
    <row r="849" spans="4:133" x14ac:dyDescent="0.5">
      <c r="D849" s="100"/>
      <c r="E849" s="98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  <c r="EA849" s="4"/>
      <c r="EB849" s="4"/>
      <c r="EC849" s="4"/>
    </row>
    <row r="850" spans="4:133" ht="16.149999999999999" thickBot="1" x14ac:dyDescent="0.55000000000000004">
      <c r="D850" s="101"/>
      <c r="E850" s="99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  <c r="EA850" s="4"/>
      <c r="EB850" s="4"/>
      <c r="EC850" s="4"/>
    </row>
    <row r="851" spans="4:133" x14ac:dyDescent="0.5">
      <c r="D851" s="100"/>
      <c r="E851" s="98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  <c r="EA851" s="4"/>
      <c r="EB851" s="4"/>
      <c r="EC851" s="4"/>
    </row>
    <row r="852" spans="4:133" ht="16.149999999999999" thickBot="1" x14ac:dyDescent="0.55000000000000004">
      <c r="D852" s="101"/>
      <c r="E852" s="99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  <c r="EA852" s="4"/>
      <c r="EB852" s="4"/>
      <c r="EC852" s="4"/>
    </row>
    <row r="853" spans="4:133" x14ac:dyDescent="0.5">
      <c r="D853" s="100"/>
      <c r="E853" s="98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  <c r="EA853" s="4"/>
      <c r="EB853" s="4"/>
      <c r="EC853" s="4"/>
    </row>
    <row r="854" spans="4:133" ht="16.149999999999999" thickBot="1" x14ac:dyDescent="0.55000000000000004">
      <c r="D854" s="101"/>
      <c r="E854" s="99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  <c r="EA854" s="4"/>
      <c r="EB854" s="4"/>
      <c r="EC854" s="4"/>
    </row>
    <row r="855" spans="4:133" x14ac:dyDescent="0.5">
      <c r="D855" s="100"/>
      <c r="E855" s="98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  <c r="EA855" s="4"/>
      <c r="EB855" s="4"/>
      <c r="EC855" s="4"/>
    </row>
    <row r="856" spans="4:133" ht="16.149999999999999" thickBot="1" x14ac:dyDescent="0.55000000000000004">
      <c r="D856" s="101"/>
      <c r="E856" s="99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  <c r="EA856" s="4"/>
      <c r="EB856" s="4"/>
      <c r="EC856" s="4"/>
    </row>
    <row r="857" spans="4:133" x14ac:dyDescent="0.5">
      <c r="D857" s="100"/>
      <c r="E857" s="98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  <c r="EA857" s="4"/>
      <c r="EB857" s="4"/>
      <c r="EC857" s="4"/>
    </row>
    <row r="858" spans="4:133" ht="16.149999999999999" thickBot="1" x14ac:dyDescent="0.55000000000000004">
      <c r="D858" s="101"/>
      <c r="E858" s="99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  <c r="EA858" s="4"/>
      <c r="EB858" s="4"/>
      <c r="EC858" s="4"/>
    </row>
    <row r="859" spans="4:133" x14ac:dyDescent="0.5">
      <c r="D859" s="100"/>
      <c r="E859" s="98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  <c r="EA859" s="4"/>
      <c r="EB859" s="4"/>
      <c r="EC859" s="4"/>
    </row>
    <row r="860" spans="4:133" ht="16.149999999999999" thickBot="1" x14ac:dyDescent="0.55000000000000004">
      <c r="D860" s="101"/>
      <c r="E860" s="99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  <c r="EA860" s="4"/>
      <c r="EB860" s="4"/>
      <c r="EC860" s="4"/>
    </row>
    <row r="861" spans="4:133" x14ac:dyDescent="0.5">
      <c r="D861" s="100"/>
      <c r="E861" s="98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  <c r="EA861" s="4"/>
      <c r="EB861" s="4"/>
      <c r="EC861" s="4"/>
    </row>
    <row r="862" spans="4:133" ht="16.149999999999999" thickBot="1" x14ac:dyDescent="0.55000000000000004">
      <c r="D862" s="101"/>
      <c r="E862" s="99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  <c r="EA862" s="4"/>
      <c r="EB862" s="4"/>
      <c r="EC862" s="4"/>
    </row>
    <row r="863" spans="4:133" x14ac:dyDescent="0.5">
      <c r="D863" s="100"/>
      <c r="E863" s="98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  <c r="EA863" s="4"/>
      <c r="EB863" s="4"/>
      <c r="EC863" s="4"/>
    </row>
    <row r="864" spans="4:133" ht="16.149999999999999" thickBot="1" x14ac:dyDescent="0.55000000000000004">
      <c r="D864" s="101"/>
      <c r="E864" s="99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  <c r="EA864" s="4"/>
      <c r="EB864" s="4"/>
      <c r="EC864" s="4"/>
    </row>
    <row r="865" spans="4:133" x14ac:dyDescent="0.5">
      <c r="D865" s="100"/>
      <c r="E865" s="98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  <c r="EA865" s="4"/>
      <c r="EB865" s="4"/>
      <c r="EC865" s="4"/>
    </row>
    <row r="866" spans="4:133" ht="16.149999999999999" thickBot="1" x14ac:dyDescent="0.55000000000000004">
      <c r="D866" s="101"/>
      <c r="E866" s="99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  <c r="EA866" s="4"/>
      <c r="EB866" s="4"/>
      <c r="EC866" s="4"/>
    </row>
    <row r="867" spans="4:133" x14ac:dyDescent="0.5">
      <c r="D867" s="100"/>
      <c r="E867" s="98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  <c r="EA867" s="4"/>
      <c r="EB867" s="4"/>
      <c r="EC867" s="4"/>
    </row>
    <row r="868" spans="4:133" ht="16.149999999999999" thickBot="1" x14ac:dyDescent="0.55000000000000004">
      <c r="D868" s="101"/>
      <c r="E868" s="99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  <c r="EA868" s="4"/>
      <c r="EB868" s="4"/>
      <c r="EC868" s="4"/>
    </row>
    <row r="869" spans="4:133" x14ac:dyDescent="0.5">
      <c r="D869" s="100"/>
      <c r="E869" s="98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  <c r="EA869" s="4"/>
      <c r="EB869" s="4"/>
      <c r="EC869" s="4"/>
    </row>
    <row r="870" spans="4:133" ht="16.149999999999999" thickBot="1" x14ac:dyDescent="0.55000000000000004">
      <c r="D870" s="101"/>
      <c r="E870" s="99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  <c r="EA870" s="4"/>
      <c r="EB870" s="4"/>
      <c r="EC870" s="4"/>
    </row>
    <row r="871" spans="4:133" x14ac:dyDescent="0.5">
      <c r="D871" s="100"/>
      <c r="E871" s="98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  <c r="EA871" s="4"/>
      <c r="EB871" s="4"/>
      <c r="EC871" s="4"/>
    </row>
    <row r="872" spans="4:133" ht="16.149999999999999" thickBot="1" x14ac:dyDescent="0.55000000000000004">
      <c r="D872" s="101"/>
      <c r="E872" s="99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  <c r="EA872" s="4"/>
      <c r="EB872" s="4"/>
      <c r="EC872" s="4"/>
    </row>
    <row r="873" spans="4:133" x14ac:dyDescent="0.5">
      <c r="D873" s="100"/>
      <c r="E873" s="98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  <c r="EA873" s="4"/>
      <c r="EB873" s="4"/>
      <c r="EC873" s="4"/>
    </row>
    <row r="874" spans="4:133" ht="16.149999999999999" thickBot="1" x14ac:dyDescent="0.55000000000000004">
      <c r="D874" s="101"/>
      <c r="E874" s="99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  <c r="EA874" s="4"/>
      <c r="EB874" s="4"/>
      <c r="EC874" s="4"/>
    </row>
    <row r="875" spans="4:133" x14ac:dyDescent="0.5">
      <c r="D875" s="100"/>
      <c r="E875" s="98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  <c r="EA875" s="4"/>
      <c r="EB875" s="4"/>
      <c r="EC875" s="4"/>
    </row>
    <row r="876" spans="4:133" ht="16.149999999999999" thickBot="1" x14ac:dyDescent="0.55000000000000004">
      <c r="D876" s="101"/>
      <c r="E876" s="99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  <c r="EA876" s="4"/>
      <c r="EB876" s="4"/>
      <c r="EC876" s="4"/>
    </row>
    <row r="877" spans="4:133" x14ac:dyDescent="0.5">
      <c r="D877" s="100"/>
      <c r="E877" s="98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  <c r="EA877" s="4"/>
      <c r="EB877" s="4"/>
      <c r="EC877" s="4"/>
    </row>
    <row r="878" spans="4:133" ht="16.149999999999999" thickBot="1" x14ac:dyDescent="0.55000000000000004">
      <c r="D878" s="101"/>
      <c r="E878" s="99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  <c r="EA878" s="4"/>
      <c r="EB878" s="4"/>
      <c r="EC878" s="4"/>
    </row>
    <row r="879" spans="4:133" x14ac:dyDescent="0.5">
      <c r="D879" s="100"/>
      <c r="E879" s="98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  <c r="EA879" s="4"/>
      <c r="EB879" s="4"/>
      <c r="EC879" s="4"/>
    </row>
    <row r="880" spans="4:133" ht="16.149999999999999" thickBot="1" x14ac:dyDescent="0.55000000000000004">
      <c r="D880" s="101"/>
      <c r="E880" s="99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  <c r="EA880" s="4"/>
      <c r="EB880" s="4"/>
      <c r="EC880" s="4"/>
    </row>
    <row r="881" spans="4:133" x14ac:dyDescent="0.5">
      <c r="D881" s="100"/>
      <c r="E881" s="98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  <c r="EA881" s="4"/>
      <c r="EB881" s="4"/>
      <c r="EC881" s="4"/>
    </row>
    <row r="882" spans="4:133" ht="16.149999999999999" thickBot="1" x14ac:dyDescent="0.55000000000000004">
      <c r="D882" s="101"/>
      <c r="E882" s="99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  <c r="EA882" s="4"/>
      <c r="EB882" s="4"/>
      <c r="EC882" s="4"/>
    </row>
    <row r="883" spans="4:133" x14ac:dyDescent="0.5">
      <c r="D883" s="100"/>
      <c r="E883" s="98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  <c r="EA883" s="4"/>
      <c r="EB883" s="4"/>
      <c r="EC883" s="4"/>
    </row>
    <row r="884" spans="4:133" ht="16.149999999999999" thickBot="1" x14ac:dyDescent="0.55000000000000004">
      <c r="D884" s="101"/>
      <c r="E884" s="99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  <c r="EA884" s="4"/>
      <c r="EB884" s="4"/>
      <c r="EC884" s="4"/>
    </row>
    <row r="885" spans="4:133" x14ac:dyDescent="0.5">
      <c r="D885" s="100"/>
      <c r="E885" s="98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  <c r="EA885" s="4"/>
      <c r="EB885" s="4"/>
      <c r="EC885" s="4"/>
    </row>
    <row r="886" spans="4:133" ht="16.149999999999999" thickBot="1" x14ac:dyDescent="0.55000000000000004">
      <c r="D886" s="101"/>
      <c r="E886" s="99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  <c r="EA886" s="4"/>
      <c r="EB886" s="4"/>
      <c r="EC886" s="4"/>
    </row>
    <row r="887" spans="4:133" x14ac:dyDescent="0.5">
      <c r="D887" s="100"/>
      <c r="E887" s="98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  <c r="EA887" s="4"/>
      <c r="EB887" s="4"/>
      <c r="EC887" s="4"/>
    </row>
    <row r="888" spans="4:133" ht="16.149999999999999" thickBot="1" x14ac:dyDescent="0.55000000000000004">
      <c r="D888" s="101"/>
      <c r="E888" s="99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  <c r="EA888" s="4"/>
      <c r="EB888" s="4"/>
      <c r="EC888" s="4"/>
    </row>
    <row r="889" spans="4:133" x14ac:dyDescent="0.5">
      <c r="D889" s="100"/>
      <c r="E889" s="98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  <c r="EA889" s="4"/>
      <c r="EB889" s="4"/>
      <c r="EC889" s="4"/>
    </row>
    <row r="890" spans="4:133" ht="16.149999999999999" thickBot="1" x14ac:dyDescent="0.55000000000000004">
      <c r="D890" s="101"/>
      <c r="E890" s="99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  <c r="EA890" s="4"/>
      <c r="EB890" s="4"/>
      <c r="EC890" s="4"/>
    </row>
    <row r="891" spans="4:133" x14ac:dyDescent="0.5">
      <c r="D891" s="100"/>
      <c r="E891" s="98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  <c r="EA891" s="4"/>
      <c r="EB891" s="4"/>
      <c r="EC891" s="4"/>
    </row>
    <row r="892" spans="4:133" ht="16.149999999999999" thickBot="1" x14ac:dyDescent="0.55000000000000004">
      <c r="D892" s="101"/>
      <c r="E892" s="99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  <c r="EA892" s="4"/>
      <c r="EB892" s="4"/>
      <c r="EC892" s="4"/>
    </row>
    <row r="893" spans="4:133" x14ac:dyDescent="0.5">
      <c r="D893" s="100"/>
      <c r="E893" s="98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  <c r="EA893" s="4"/>
      <c r="EB893" s="4"/>
      <c r="EC893" s="4"/>
    </row>
    <row r="894" spans="4:133" ht="16.149999999999999" thickBot="1" x14ac:dyDescent="0.55000000000000004">
      <c r="D894" s="101"/>
      <c r="E894" s="99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  <c r="EA894" s="4"/>
      <c r="EB894" s="4"/>
      <c r="EC894" s="4"/>
    </row>
    <row r="895" spans="4:133" x14ac:dyDescent="0.5">
      <c r="D895" s="100"/>
      <c r="E895" s="98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  <c r="EA895" s="4"/>
      <c r="EB895" s="4"/>
      <c r="EC895" s="4"/>
    </row>
    <row r="896" spans="4:133" ht="16.149999999999999" thickBot="1" x14ac:dyDescent="0.55000000000000004">
      <c r="D896" s="101"/>
      <c r="E896" s="99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  <c r="EA896" s="4"/>
      <c r="EB896" s="4"/>
      <c r="EC896" s="4"/>
    </row>
    <row r="897" spans="4:133" x14ac:dyDescent="0.5">
      <c r="D897" s="100"/>
      <c r="E897" s="98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  <c r="EA897" s="4"/>
      <c r="EB897" s="4"/>
      <c r="EC897" s="4"/>
    </row>
    <row r="898" spans="4:133" ht="16.149999999999999" thickBot="1" x14ac:dyDescent="0.55000000000000004">
      <c r="D898" s="101"/>
      <c r="E898" s="99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  <c r="EA898" s="4"/>
      <c r="EB898" s="4"/>
      <c r="EC898" s="4"/>
    </row>
    <row r="899" spans="4:133" x14ac:dyDescent="0.5">
      <c r="D899" s="100"/>
      <c r="E899" s="98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  <c r="EA899" s="4"/>
      <c r="EB899" s="4"/>
      <c r="EC899" s="4"/>
    </row>
    <row r="900" spans="4:133" ht="16.149999999999999" thickBot="1" x14ac:dyDescent="0.55000000000000004">
      <c r="D900" s="101"/>
      <c r="E900" s="99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  <c r="EA900" s="4"/>
      <c r="EB900" s="4"/>
      <c r="EC900" s="4"/>
    </row>
    <row r="901" spans="4:133" x14ac:dyDescent="0.5">
      <c r="D901" s="100"/>
      <c r="E901" s="98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  <c r="EA901" s="4"/>
      <c r="EB901" s="4"/>
      <c r="EC901" s="4"/>
    </row>
    <row r="902" spans="4:133" ht="16.149999999999999" thickBot="1" x14ac:dyDescent="0.55000000000000004">
      <c r="D902" s="101"/>
      <c r="E902" s="99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  <c r="EA902" s="4"/>
      <c r="EB902" s="4"/>
      <c r="EC902" s="4"/>
    </row>
    <row r="903" spans="4:133" x14ac:dyDescent="0.5">
      <c r="D903" s="100"/>
      <c r="E903" s="98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  <c r="EA903" s="4"/>
      <c r="EB903" s="4"/>
      <c r="EC903" s="4"/>
    </row>
    <row r="904" spans="4:133" ht="16.149999999999999" thickBot="1" x14ac:dyDescent="0.55000000000000004">
      <c r="D904" s="101"/>
      <c r="E904" s="99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  <c r="EA904" s="4"/>
      <c r="EB904" s="4"/>
      <c r="EC904" s="4"/>
    </row>
    <row r="905" spans="4:133" x14ac:dyDescent="0.5">
      <c r="D905" s="100"/>
      <c r="E905" s="98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  <c r="EA905" s="4"/>
      <c r="EB905" s="4"/>
      <c r="EC905" s="4"/>
    </row>
    <row r="906" spans="4:133" ht="16.149999999999999" thickBot="1" x14ac:dyDescent="0.55000000000000004">
      <c r="D906" s="101"/>
      <c r="E906" s="99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  <c r="EA906" s="4"/>
      <c r="EB906" s="4"/>
      <c r="EC906" s="4"/>
    </row>
    <row r="907" spans="4:133" x14ac:dyDescent="0.5">
      <c r="D907" s="100"/>
      <c r="E907" s="98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  <c r="EA907" s="4"/>
      <c r="EB907" s="4"/>
      <c r="EC907" s="4"/>
    </row>
    <row r="908" spans="4:133" ht="16.149999999999999" thickBot="1" x14ac:dyDescent="0.55000000000000004">
      <c r="D908" s="101"/>
      <c r="E908" s="99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  <c r="EA908" s="4"/>
      <c r="EB908" s="4"/>
      <c r="EC908" s="4"/>
    </row>
    <row r="909" spans="4:133" x14ac:dyDescent="0.5">
      <c r="D909" s="100"/>
      <c r="E909" s="98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  <c r="EA909" s="4"/>
      <c r="EB909" s="4"/>
      <c r="EC909" s="4"/>
    </row>
    <row r="910" spans="4:133" ht="16.149999999999999" thickBot="1" x14ac:dyDescent="0.55000000000000004">
      <c r="D910" s="101"/>
      <c r="E910" s="99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  <c r="EA910" s="4"/>
      <c r="EB910" s="4"/>
      <c r="EC910" s="4"/>
    </row>
    <row r="911" spans="4:133" x14ac:dyDescent="0.5">
      <c r="D911" s="100"/>
      <c r="E911" s="98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  <c r="EA911" s="4"/>
      <c r="EB911" s="4"/>
      <c r="EC911" s="4"/>
    </row>
    <row r="912" spans="4:133" ht="16.149999999999999" thickBot="1" x14ac:dyDescent="0.55000000000000004">
      <c r="D912" s="101"/>
      <c r="E912" s="99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  <c r="EA912" s="4"/>
      <c r="EB912" s="4"/>
      <c r="EC912" s="4"/>
    </row>
    <row r="913" spans="4:133" x14ac:dyDescent="0.5">
      <c r="D913" s="100"/>
      <c r="E913" s="98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  <c r="EA913" s="4"/>
      <c r="EB913" s="4"/>
      <c r="EC913" s="4"/>
    </row>
    <row r="914" spans="4:133" ht="16.149999999999999" thickBot="1" x14ac:dyDescent="0.55000000000000004">
      <c r="D914" s="101"/>
      <c r="E914" s="99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  <c r="EA914" s="4"/>
      <c r="EB914" s="4"/>
      <c r="EC914" s="4"/>
    </row>
    <row r="915" spans="4:133" x14ac:dyDescent="0.5">
      <c r="D915" s="100"/>
      <c r="E915" s="98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  <c r="EA915" s="4"/>
      <c r="EB915" s="4"/>
      <c r="EC915" s="4"/>
    </row>
    <row r="916" spans="4:133" ht="16.149999999999999" thickBot="1" x14ac:dyDescent="0.55000000000000004">
      <c r="D916" s="101"/>
      <c r="E916" s="99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  <c r="EA916" s="4"/>
      <c r="EB916" s="4"/>
      <c r="EC916" s="4"/>
    </row>
    <row r="917" spans="4:133" x14ac:dyDescent="0.5">
      <c r="D917" s="100"/>
      <c r="E917" s="98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  <c r="EA917" s="4"/>
      <c r="EB917" s="4"/>
      <c r="EC917" s="4"/>
    </row>
    <row r="918" spans="4:133" ht="16.149999999999999" thickBot="1" x14ac:dyDescent="0.55000000000000004">
      <c r="D918" s="101"/>
      <c r="E918" s="99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  <c r="EA918" s="4"/>
      <c r="EB918" s="4"/>
      <c r="EC918" s="4"/>
    </row>
    <row r="919" spans="4:133" x14ac:dyDescent="0.5">
      <c r="D919" s="100"/>
      <c r="E919" s="98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  <c r="EA919" s="4"/>
      <c r="EB919" s="4"/>
      <c r="EC919" s="4"/>
    </row>
    <row r="920" spans="4:133" ht="16.149999999999999" thickBot="1" x14ac:dyDescent="0.55000000000000004">
      <c r="D920" s="101"/>
      <c r="E920" s="99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  <c r="EA920" s="4"/>
      <c r="EB920" s="4"/>
      <c r="EC920" s="4"/>
    </row>
    <row r="921" spans="4:133" x14ac:dyDescent="0.5">
      <c r="D921" s="100"/>
      <c r="E921" s="98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  <c r="EA921" s="4"/>
      <c r="EB921" s="4"/>
      <c r="EC921" s="4"/>
    </row>
    <row r="922" spans="4:133" ht="16.149999999999999" thickBot="1" x14ac:dyDescent="0.55000000000000004">
      <c r="D922" s="101"/>
      <c r="E922" s="99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  <c r="EA922" s="4"/>
      <c r="EB922" s="4"/>
      <c r="EC922" s="4"/>
    </row>
    <row r="923" spans="4:133" x14ac:dyDescent="0.5">
      <c r="D923" s="100"/>
      <c r="E923" s="98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  <c r="EA923" s="4"/>
      <c r="EB923" s="4"/>
      <c r="EC923" s="4"/>
    </row>
    <row r="924" spans="4:133" ht="16.149999999999999" thickBot="1" x14ac:dyDescent="0.55000000000000004">
      <c r="D924" s="101"/>
      <c r="E924" s="99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  <c r="EA924" s="4"/>
      <c r="EB924" s="4"/>
      <c r="EC924" s="4"/>
    </row>
    <row r="925" spans="4:133" x14ac:dyDescent="0.5">
      <c r="D925" s="100"/>
      <c r="E925" s="98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  <c r="EA925" s="4"/>
      <c r="EB925" s="4"/>
      <c r="EC925" s="4"/>
    </row>
    <row r="926" spans="4:133" ht="16.149999999999999" thickBot="1" x14ac:dyDescent="0.55000000000000004">
      <c r="D926" s="101"/>
      <c r="E926" s="99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  <c r="EA926" s="4"/>
      <c r="EB926" s="4"/>
      <c r="EC926" s="4"/>
    </row>
    <row r="927" spans="4:133" x14ac:dyDescent="0.5">
      <c r="D927" s="100"/>
      <c r="E927" s="98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  <c r="EA927" s="4"/>
      <c r="EB927" s="4"/>
      <c r="EC927" s="4"/>
    </row>
    <row r="928" spans="4:133" ht="16.149999999999999" thickBot="1" x14ac:dyDescent="0.55000000000000004">
      <c r="D928" s="101"/>
      <c r="E928" s="99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  <c r="EA928" s="4"/>
      <c r="EB928" s="4"/>
      <c r="EC928" s="4"/>
    </row>
    <row r="929" spans="4:133" x14ac:dyDescent="0.5">
      <c r="D929" s="100"/>
      <c r="E929" s="98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  <c r="EA929" s="4"/>
      <c r="EB929" s="4"/>
      <c r="EC929" s="4"/>
    </row>
    <row r="930" spans="4:133" ht="16.149999999999999" thickBot="1" x14ac:dyDescent="0.55000000000000004">
      <c r="D930" s="101"/>
      <c r="E930" s="99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  <c r="EA930" s="4"/>
      <c r="EB930" s="4"/>
      <c r="EC930" s="4"/>
    </row>
    <row r="931" spans="4:133" x14ac:dyDescent="0.5">
      <c r="D931" s="100"/>
      <c r="E931" s="98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  <c r="EA931" s="4"/>
      <c r="EB931" s="4"/>
      <c r="EC931" s="4"/>
    </row>
    <row r="932" spans="4:133" ht="16.149999999999999" thickBot="1" x14ac:dyDescent="0.55000000000000004">
      <c r="D932" s="101"/>
      <c r="E932" s="99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  <c r="EA932" s="4"/>
      <c r="EB932" s="4"/>
      <c r="EC932" s="4"/>
    </row>
    <row r="933" spans="4:133" x14ac:dyDescent="0.5">
      <c r="D933" s="100"/>
      <c r="E933" s="98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  <c r="EA933" s="4"/>
      <c r="EB933" s="4"/>
      <c r="EC933" s="4"/>
    </row>
    <row r="934" spans="4:133" ht="16.149999999999999" thickBot="1" x14ac:dyDescent="0.55000000000000004">
      <c r="D934" s="101"/>
      <c r="E934" s="99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  <c r="EA934" s="4"/>
      <c r="EB934" s="4"/>
      <c r="EC934" s="4"/>
    </row>
    <row r="935" spans="4:133" x14ac:dyDescent="0.5">
      <c r="D935" s="100"/>
      <c r="E935" s="98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  <c r="EA935" s="4"/>
      <c r="EB935" s="4"/>
      <c r="EC935" s="4"/>
    </row>
    <row r="936" spans="4:133" ht="16.149999999999999" thickBot="1" x14ac:dyDescent="0.55000000000000004">
      <c r="D936" s="101"/>
      <c r="E936" s="99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  <c r="EA936" s="4"/>
      <c r="EB936" s="4"/>
      <c r="EC936" s="4"/>
    </row>
    <row r="937" spans="4:133" x14ac:dyDescent="0.5">
      <c r="D937" s="100"/>
      <c r="E937" s="98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  <c r="EA937" s="4"/>
      <c r="EB937" s="4"/>
      <c r="EC937" s="4"/>
    </row>
    <row r="938" spans="4:133" ht="16.149999999999999" thickBot="1" x14ac:dyDescent="0.55000000000000004">
      <c r="D938" s="101"/>
      <c r="E938" s="99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  <c r="EA938" s="4"/>
      <c r="EB938" s="4"/>
      <c r="EC938" s="4"/>
    </row>
    <row r="939" spans="4:133" x14ac:dyDescent="0.5">
      <c r="D939" s="100"/>
      <c r="E939" s="98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  <c r="EA939" s="4"/>
      <c r="EB939" s="4"/>
      <c r="EC939" s="4"/>
    </row>
    <row r="940" spans="4:133" ht="16.149999999999999" thickBot="1" x14ac:dyDescent="0.55000000000000004">
      <c r="D940" s="101"/>
      <c r="E940" s="99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  <c r="EA940" s="4"/>
      <c r="EB940" s="4"/>
      <c r="EC940" s="4"/>
    </row>
    <row r="941" spans="4:133" x14ac:dyDescent="0.5">
      <c r="D941" s="100"/>
      <c r="E941" s="98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  <c r="EA941" s="4"/>
      <c r="EB941" s="4"/>
      <c r="EC941" s="4"/>
    </row>
    <row r="942" spans="4:133" ht="16.149999999999999" thickBot="1" x14ac:dyDescent="0.55000000000000004">
      <c r="D942" s="101"/>
      <c r="E942" s="99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  <c r="EA942" s="4"/>
      <c r="EB942" s="4"/>
      <c r="EC942" s="4"/>
    </row>
    <row r="943" spans="4:133" x14ac:dyDescent="0.5">
      <c r="D943" s="100"/>
      <c r="E943" s="98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  <c r="EA943" s="4"/>
      <c r="EB943" s="4"/>
      <c r="EC943" s="4"/>
    </row>
    <row r="944" spans="4:133" ht="16.149999999999999" thickBot="1" x14ac:dyDescent="0.55000000000000004">
      <c r="D944" s="101"/>
      <c r="E944" s="99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  <c r="EA944" s="4"/>
      <c r="EB944" s="4"/>
      <c r="EC944" s="4"/>
    </row>
    <row r="945" spans="4:133" x14ac:dyDescent="0.5">
      <c r="D945" s="100"/>
      <c r="E945" s="98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  <c r="EA945" s="4"/>
      <c r="EB945" s="4"/>
      <c r="EC945" s="4"/>
    </row>
    <row r="946" spans="4:133" ht="16.149999999999999" thickBot="1" x14ac:dyDescent="0.55000000000000004">
      <c r="D946" s="101"/>
      <c r="E946" s="99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  <c r="EA946" s="4"/>
      <c r="EB946" s="4"/>
      <c r="EC946" s="4"/>
    </row>
    <row r="947" spans="4:133" x14ac:dyDescent="0.5">
      <c r="D947" s="100"/>
      <c r="E947" s="98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  <c r="EA947" s="4"/>
      <c r="EB947" s="4"/>
      <c r="EC947" s="4"/>
    </row>
    <row r="948" spans="4:133" ht="16.149999999999999" thickBot="1" x14ac:dyDescent="0.55000000000000004">
      <c r="D948" s="101"/>
      <c r="E948" s="99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  <c r="EA948" s="4"/>
      <c r="EB948" s="4"/>
      <c r="EC948" s="4"/>
    </row>
    <row r="949" spans="4:133" x14ac:dyDescent="0.5">
      <c r="D949" s="100"/>
      <c r="E949" s="98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  <c r="EA949" s="4"/>
      <c r="EB949" s="4"/>
      <c r="EC949" s="4"/>
    </row>
    <row r="950" spans="4:133" ht="16.149999999999999" thickBot="1" x14ac:dyDescent="0.55000000000000004">
      <c r="D950" s="101"/>
      <c r="E950" s="99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  <c r="EA950" s="4"/>
      <c r="EB950" s="4"/>
      <c r="EC950" s="4"/>
    </row>
    <row r="951" spans="4:133" x14ac:dyDescent="0.5">
      <c r="D951" s="100"/>
      <c r="E951" s="98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  <c r="EA951" s="4"/>
      <c r="EB951" s="4"/>
      <c r="EC951" s="4"/>
    </row>
    <row r="952" spans="4:133" ht="16.149999999999999" thickBot="1" x14ac:dyDescent="0.55000000000000004">
      <c r="D952" s="101"/>
      <c r="E952" s="99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  <c r="EA952" s="4"/>
      <c r="EB952" s="4"/>
      <c r="EC952" s="4"/>
    </row>
    <row r="953" spans="4:133" x14ac:dyDescent="0.5">
      <c r="D953" s="100"/>
      <c r="E953" s="98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  <c r="EA953" s="4"/>
      <c r="EB953" s="4"/>
      <c r="EC953" s="4"/>
    </row>
    <row r="954" spans="4:133" ht="16.149999999999999" thickBot="1" x14ac:dyDescent="0.55000000000000004">
      <c r="D954" s="101"/>
      <c r="E954" s="99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  <c r="EA954" s="4"/>
      <c r="EB954" s="4"/>
      <c r="EC954" s="4"/>
    </row>
    <row r="955" spans="4:133" x14ac:dyDescent="0.5">
      <c r="D955" s="100"/>
      <c r="E955" s="98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  <c r="EA955" s="4"/>
      <c r="EB955" s="4"/>
      <c r="EC955" s="4"/>
    </row>
    <row r="956" spans="4:133" ht="16.149999999999999" thickBot="1" x14ac:dyDescent="0.55000000000000004">
      <c r="D956" s="101"/>
      <c r="E956" s="99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  <c r="EA956" s="4"/>
      <c r="EB956" s="4"/>
      <c r="EC956" s="4"/>
    </row>
    <row r="957" spans="4:133" x14ac:dyDescent="0.5">
      <c r="D957" s="100"/>
      <c r="E957" s="98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  <c r="EA957" s="4"/>
      <c r="EB957" s="4"/>
      <c r="EC957" s="4"/>
    </row>
    <row r="958" spans="4:133" ht="16.149999999999999" thickBot="1" x14ac:dyDescent="0.55000000000000004">
      <c r="D958" s="101"/>
      <c r="E958" s="99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  <c r="EA958" s="4"/>
      <c r="EB958" s="4"/>
      <c r="EC958" s="4"/>
    </row>
    <row r="959" spans="4:133" x14ac:dyDescent="0.5">
      <c r="D959" s="100"/>
      <c r="E959" s="98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  <c r="EA959" s="4"/>
      <c r="EB959" s="4"/>
      <c r="EC959" s="4"/>
    </row>
    <row r="960" spans="4:133" ht="16.149999999999999" thickBot="1" x14ac:dyDescent="0.55000000000000004">
      <c r="D960" s="101"/>
      <c r="E960" s="99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  <c r="EA960" s="4"/>
      <c r="EB960" s="4"/>
      <c r="EC960" s="4"/>
    </row>
    <row r="961" spans="4:133" x14ac:dyDescent="0.5">
      <c r="D961" s="100"/>
      <c r="E961" s="98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  <c r="EA961" s="4"/>
      <c r="EB961" s="4"/>
      <c r="EC961" s="4"/>
    </row>
    <row r="962" spans="4:133" ht="16.149999999999999" thickBot="1" x14ac:dyDescent="0.55000000000000004">
      <c r="D962" s="101"/>
      <c r="E962" s="99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  <c r="EA962" s="4"/>
      <c r="EB962" s="4"/>
      <c r="EC962" s="4"/>
    </row>
    <row r="963" spans="4:133" x14ac:dyDescent="0.5">
      <c r="D963" s="100"/>
      <c r="E963" s="98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  <c r="EA963" s="4"/>
      <c r="EB963" s="4"/>
      <c r="EC963" s="4"/>
    </row>
    <row r="964" spans="4:133" ht="16.149999999999999" thickBot="1" x14ac:dyDescent="0.55000000000000004">
      <c r="D964" s="101"/>
      <c r="E964" s="99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  <c r="EA964" s="4"/>
      <c r="EB964" s="4"/>
      <c r="EC964" s="4"/>
    </row>
    <row r="965" spans="4:133" x14ac:dyDescent="0.5">
      <c r="D965" s="100"/>
      <c r="E965" s="98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  <c r="EA965" s="4"/>
      <c r="EB965" s="4"/>
      <c r="EC965" s="4"/>
    </row>
    <row r="966" spans="4:133" ht="16.149999999999999" thickBot="1" x14ac:dyDescent="0.55000000000000004">
      <c r="D966" s="101"/>
      <c r="E966" s="99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  <c r="EA966" s="4"/>
      <c r="EB966" s="4"/>
      <c r="EC966" s="4"/>
    </row>
    <row r="967" spans="4:133" x14ac:dyDescent="0.5">
      <c r="D967" s="100"/>
      <c r="E967" s="98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  <c r="EA967" s="4"/>
      <c r="EB967" s="4"/>
      <c r="EC967" s="4"/>
    </row>
    <row r="968" spans="4:133" ht="16.149999999999999" thickBot="1" x14ac:dyDescent="0.55000000000000004">
      <c r="D968" s="101"/>
      <c r="E968" s="99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  <c r="EA968" s="4"/>
      <c r="EB968" s="4"/>
      <c r="EC968" s="4"/>
    </row>
    <row r="969" spans="4:133" x14ac:dyDescent="0.5">
      <c r="D969" s="100"/>
      <c r="E969" s="98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  <c r="EA969" s="4"/>
      <c r="EB969" s="4"/>
      <c r="EC969" s="4"/>
    </row>
    <row r="970" spans="4:133" ht="16.149999999999999" thickBot="1" x14ac:dyDescent="0.55000000000000004">
      <c r="D970" s="101"/>
      <c r="E970" s="99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  <c r="EA970" s="4"/>
      <c r="EB970" s="4"/>
      <c r="EC970" s="4"/>
    </row>
    <row r="971" spans="4:133" x14ac:dyDescent="0.5">
      <c r="D971" s="100"/>
      <c r="E971" s="98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  <c r="EA971" s="4"/>
      <c r="EB971" s="4"/>
      <c r="EC971" s="4"/>
    </row>
    <row r="972" spans="4:133" ht="16.149999999999999" thickBot="1" x14ac:dyDescent="0.55000000000000004">
      <c r="D972" s="101"/>
      <c r="E972" s="99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  <c r="EA972" s="4"/>
      <c r="EB972" s="4"/>
      <c r="EC972" s="4"/>
    </row>
    <row r="973" spans="4:133" x14ac:dyDescent="0.5">
      <c r="D973" s="100"/>
      <c r="E973" s="98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  <c r="EA973" s="4"/>
      <c r="EB973" s="4"/>
      <c r="EC973" s="4"/>
    </row>
    <row r="974" spans="4:133" ht="16.149999999999999" thickBot="1" x14ac:dyDescent="0.55000000000000004">
      <c r="D974" s="101"/>
      <c r="E974" s="99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  <c r="EA974" s="4"/>
      <c r="EB974" s="4"/>
      <c r="EC974" s="4"/>
    </row>
    <row r="975" spans="4:133" x14ac:dyDescent="0.5">
      <c r="D975" s="100"/>
      <c r="E975" s="98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  <c r="EA975" s="4"/>
      <c r="EB975" s="4"/>
      <c r="EC975" s="4"/>
    </row>
    <row r="976" spans="4:133" ht="16.149999999999999" thickBot="1" x14ac:dyDescent="0.55000000000000004">
      <c r="D976" s="101"/>
      <c r="E976" s="99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  <c r="EA976" s="4"/>
      <c r="EB976" s="4"/>
      <c r="EC976" s="4"/>
    </row>
    <row r="977" spans="4:133" x14ac:dyDescent="0.5">
      <c r="D977" s="100"/>
      <c r="E977" s="98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  <c r="EA977" s="4"/>
      <c r="EB977" s="4"/>
      <c r="EC977" s="4"/>
    </row>
    <row r="978" spans="4:133" ht="16.149999999999999" thickBot="1" x14ac:dyDescent="0.55000000000000004">
      <c r="D978" s="101"/>
      <c r="E978" s="99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  <c r="EA978" s="4"/>
      <c r="EB978" s="4"/>
      <c r="EC978" s="4"/>
    </row>
    <row r="979" spans="4:133" x14ac:dyDescent="0.5">
      <c r="D979" s="100"/>
      <c r="E979" s="98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  <c r="EA979" s="4"/>
      <c r="EB979" s="4"/>
      <c r="EC979" s="4"/>
    </row>
    <row r="980" spans="4:133" ht="16.149999999999999" thickBot="1" x14ac:dyDescent="0.55000000000000004">
      <c r="D980" s="101"/>
      <c r="E980" s="99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  <c r="EA980" s="4"/>
      <c r="EB980" s="4"/>
      <c r="EC980" s="4"/>
    </row>
    <row r="981" spans="4:133" x14ac:dyDescent="0.5">
      <c r="D981" s="100"/>
      <c r="E981" s="98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  <c r="EA981" s="4"/>
      <c r="EB981" s="4"/>
      <c r="EC981" s="4"/>
    </row>
    <row r="982" spans="4:133" ht="16.149999999999999" thickBot="1" x14ac:dyDescent="0.55000000000000004">
      <c r="D982" s="101"/>
      <c r="E982" s="99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  <c r="EA982" s="4"/>
      <c r="EB982" s="4"/>
      <c r="EC982" s="4"/>
    </row>
    <row r="983" spans="4:133" x14ac:dyDescent="0.5">
      <c r="D983" s="100"/>
      <c r="E983" s="98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  <c r="EA983" s="4"/>
      <c r="EB983" s="4"/>
      <c r="EC983" s="4"/>
    </row>
    <row r="984" spans="4:133" ht="16.149999999999999" thickBot="1" x14ac:dyDescent="0.55000000000000004">
      <c r="D984" s="101"/>
      <c r="E984" s="99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  <c r="EA984" s="4"/>
      <c r="EB984" s="4"/>
      <c r="EC984" s="4"/>
    </row>
    <row r="985" spans="4:133" x14ac:dyDescent="0.5">
      <c r="D985" s="100"/>
      <c r="E985" s="98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  <c r="EA985" s="4"/>
      <c r="EB985" s="4"/>
      <c r="EC985" s="4"/>
    </row>
    <row r="986" spans="4:133" ht="16.149999999999999" thickBot="1" x14ac:dyDescent="0.55000000000000004">
      <c r="D986" s="101"/>
      <c r="E986" s="99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  <c r="EA986" s="4"/>
      <c r="EB986" s="4"/>
      <c r="EC986" s="4"/>
    </row>
    <row r="987" spans="4:133" x14ac:dyDescent="0.5">
      <c r="D987" s="100"/>
      <c r="E987" s="98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  <c r="EA987" s="4"/>
      <c r="EB987" s="4"/>
      <c r="EC987" s="4"/>
    </row>
    <row r="988" spans="4:133" ht="16.149999999999999" thickBot="1" x14ac:dyDescent="0.55000000000000004">
      <c r="D988" s="101"/>
      <c r="E988" s="99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  <c r="EA988" s="4"/>
      <c r="EB988" s="4"/>
      <c r="EC988" s="4"/>
    </row>
    <row r="989" spans="4:133" x14ac:dyDescent="0.5">
      <c r="D989" s="100"/>
      <c r="E989" s="98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  <c r="EA989" s="4"/>
      <c r="EB989" s="4"/>
      <c r="EC989" s="4"/>
    </row>
    <row r="990" spans="4:133" ht="16.149999999999999" thickBot="1" x14ac:dyDescent="0.55000000000000004">
      <c r="D990" s="101"/>
      <c r="E990" s="99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  <c r="EA990" s="4"/>
      <c r="EB990" s="4"/>
      <c r="EC990" s="4"/>
    </row>
    <row r="991" spans="4:133" x14ac:dyDescent="0.5">
      <c r="D991" s="100"/>
      <c r="E991" s="98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  <c r="EA991" s="4"/>
      <c r="EB991" s="4"/>
      <c r="EC991" s="4"/>
    </row>
    <row r="992" spans="4:133" ht="16.149999999999999" thickBot="1" x14ac:dyDescent="0.55000000000000004">
      <c r="D992" s="101"/>
      <c r="E992" s="99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  <c r="EA992" s="4"/>
      <c r="EB992" s="4"/>
      <c r="EC992" s="4"/>
    </row>
    <row r="993" spans="4:133" x14ac:dyDescent="0.5">
      <c r="D993" s="100"/>
      <c r="E993" s="98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  <c r="EA993" s="4"/>
      <c r="EB993" s="4"/>
      <c r="EC993" s="4"/>
    </row>
    <row r="994" spans="4:133" ht="16.149999999999999" thickBot="1" x14ac:dyDescent="0.55000000000000004">
      <c r="D994" s="101"/>
      <c r="E994" s="99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  <c r="EA994" s="4"/>
      <c r="EB994" s="4"/>
      <c r="EC994" s="4"/>
    </row>
    <row r="995" spans="4:133" x14ac:dyDescent="0.5">
      <c r="D995" s="100"/>
      <c r="E995" s="98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  <c r="EA995" s="4"/>
      <c r="EB995" s="4"/>
      <c r="EC995" s="4"/>
    </row>
    <row r="996" spans="4:133" ht="16.149999999999999" thickBot="1" x14ac:dyDescent="0.55000000000000004">
      <c r="D996" s="101"/>
      <c r="E996" s="99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  <c r="EA996" s="4"/>
      <c r="EB996" s="4"/>
      <c r="EC996" s="4"/>
    </row>
    <row r="997" spans="4:133" x14ac:dyDescent="0.5">
      <c r="D997" s="100"/>
      <c r="E997" s="98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  <c r="EA997" s="4"/>
      <c r="EB997" s="4"/>
      <c r="EC997" s="4"/>
    </row>
    <row r="998" spans="4:133" ht="16.149999999999999" thickBot="1" x14ac:dyDescent="0.55000000000000004">
      <c r="D998" s="101"/>
      <c r="E998" s="99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  <c r="EA998" s="4"/>
      <c r="EB998" s="4"/>
      <c r="EC998" s="4"/>
    </row>
    <row r="999" spans="4:133" x14ac:dyDescent="0.5">
      <c r="D999" s="100"/>
      <c r="E999" s="98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  <c r="EA999" s="4"/>
      <c r="EB999" s="4"/>
      <c r="EC999" s="4"/>
    </row>
    <row r="1000" spans="4:133" ht="16.149999999999999" thickBot="1" x14ac:dyDescent="0.55000000000000004">
      <c r="D1000" s="101"/>
      <c r="E1000" s="99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  <c r="EA1000" s="4"/>
      <c r="EB1000" s="4"/>
      <c r="EC1000" s="4"/>
    </row>
  </sheetData>
  <mergeCells count="994">
    <mergeCell ref="E61:E62"/>
    <mergeCell ref="E63:E64"/>
    <mergeCell ref="E65:E66"/>
    <mergeCell ref="E9:E10"/>
    <mergeCell ref="E7:E8"/>
    <mergeCell ref="E11:E12"/>
    <mergeCell ref="E13:E14"/>
    <mergeCell ref="E15:E16"/>
    <mergeCell ref="E17:E18"/>
    <mergeCell ref="E31:E32"/>
    <mergeCell ref="E33:E34"/>
    <mergeCell ref="E35:E36"/>
    <mergeCell ref="E73:E74"/>
    <mergeCell ref="E75:E76"/>
    <mergeCell ref="E77:E78"/>
    <mergeCell ref="E37:E38"/>
    <mergeCell ref="E39:E40"/>
    <mergeCell ref="E41:E42"/>
    <mergeCell ref="E19:E20"/>
    <mergeCell ref="E21:E22"/>
    <mergeCell ref="E23:E24"/>
    <mergeCell ref="E25:E26"/>
    <mergeCell ref="E27:E28"/>
    <mergeCell ref="E29:E30"/>
    <mergeCell ref="E67:E68"/>
    <mergeCell ref="E69:E70"/>
    <mergeCell ref="E71:E72"/>
    <mergeCell ref="E43:E44"/>
    <mergeCell ref="E45:E46"/>
    <mergeCell ref="E47:E48"/>
    <mergeCell ref="E49:E50"/>
    <mergeCell ref="E51:E52"/>
    <mergeCell ref="E53:E54"/>
    <mergeCell ref="E55:E56"/>
    <mergeCell ref="E57:E58"/>
    <mergeCell ref="E59:E60"/>
    <mergeCell ref="E183:E184"/>
    <mergeCell ref="E185:E186"/>
    <mergeCell ref="E79:E80"/>
    <mergeCell ref="E81:E82"/>
    <mergeCell ref="E103:E104"/>
    <mergeCell ref="E105:E106"/>
    <mergeCell ref="E107:E108"/>
    <mergeCell ref="E109:E110"/>
    <mergeCell ref="E111:E112"/>
    <mergeCell ref="E113:E114"/>
    <mergeCell ref="E91:E92"/>
    <mergeCell ref="E93:E94"/>
    <mergeCell ref="E95:E96"/>
    <mergeCell ref="E97:E98"/>
    <mergeCell ref="E99:E100"/>
    <mergeCell ref="E101:E102"/>
    <mergeCell ref="E115:E116"/>
    <mergeCell ref="E117:E118"/>
    <mergeCell ref="E119:E120"/>
    <mergeCell ref="E121:E122"/>
    <mergeCell ref="E199:E200"/>
    <mergeCell ref="E201:E202"/>
    <mergeCell ref="E203:E204"/>
    <mergeCell ref="E205:E206"/>
    <mergeCell ref="D7:D8"/>
    <mergeCell ref="D9:D10"/>
    <mergeCell ref="D11:D12"/>
    <mergeCell ref="D13:D14"/>
    <mergeCell ref="D15:D16"/>
    <mergeCell ref="D17:D18"/>
    <mergeCell ref="E187:E188"/>
    <mergeCell ref="E189:E190"/>
    <mergeCell ref="E191:E192"/>
    <mergeCell ref="E193:E194"/>
    <mergeCell ref="E195:E196"/>
    <mergeCell ref="E197:E198"/>
    <mergeCell ref="E175:E176"/>
    <mergeCell ref="E177:E178"/>
    <mergeCell ref="E179:E180"/>
    <mergeCell ref="E181:E182"/>
    <mergeCell ref="E145:E146"/>
    <mergeCell ref="E147:E148"/>
    <mergeCell ref="E149:E150"/>
    <mergeCell ref="E127:E128"/>
    <mergeCell ref="E129:E130"/>
    <mergeCell ref="E131:E132"/>
    <mergeCell ref="E133:E134"/>
    <mergeCell ref="E135:E136"/>
    <mergeCell ref="E137:E138"/>
    <mergeCell ref="D37:D38"/>
    <mergeCell ref="D39:D40"/>
    <mergeCell ref="D41:D42"/>
    <mergeCell ref="E163:E164"/>
    <mergeCell ref="E165:E166"/>
    <mergeCell ref="E167:E168"/>
    <mergeCell ref="E169:E170"/>
    <mergeCell ref="E171:E172"/>
    <mergeCell ref="E173:E174"/>
    <mergeCell ref="E151:E152"/>
    <mergeCell ref="E153:E154"/>
    <mergeCell ref="E155:E156"/>
    <mergeCell ref="E157:E158"/>
    <mergeCell ref="E123:E124"/>
    <mergeCell ref="E125:E126"/>
    <mergeCell ref="E83:E84"/>
    <mergeCell ref="E85:E86"/>
    <mergeCell ref="E87:E88"/>
    <mergeCell ref="E89:E90"/>
    <mergeCell ref="E159:E160"/>
    <mergeCell ref="E161:E162"/>
    <mergeCell ref="E139:E140"/>
    <mergeCell ref="E141:E142"/>
    <mergeCell ref="E143:E144"/>
    <mergeCell ref="D19:D20"/>
    <mergeCell ref="D21:D22"/>
    <mergeCell ref="D23:D24"/>
    <mergeCell ref="D25:D26"/>
    <mergeCell ref="D27:D28"/>
    <mergeCell ref="D29:D30"/>
    <mergeCell ref="D79:D80"/>
    <mergeCell ref="D81:D82"/>
    <mergeCell ref="D83:D84"/>
    <mergeCell ref="D55:D56"/>
    <mergeCell ref="D57:D58"/>
    <mergeCell ref="D59:D60"/>
    <mergeCell ref="D61:D62"/>
    <mergeCell ref="D63:D64"/>
    <mergeCell ref="D65:D66"/>
    <mergeCell ref="D43:D44"/>
    <mergeCell ref="D45:D46"/>
    <mergeCell ref="D47:D48"/>
    <mergeCell ref="D49:D50"/>
    <mergeCell ref="D51:D52"/>
    <mergeCell ref="D53:D54"/>
    <mergeCell ref="D31:D32"/>
    <mergeCell ref="D33:D34"/>
    <mergeCell ref="D35:D36"/>
    <mergeCell ref="D67:D68"/>
    <mergeCell ref="D69:D70"/>
    <mergeCell ref="D71:D72"/>
    <mergeCell ref="D73:D74"/>
    <mergeCell ref="D75:D76"/>
    <mergeCell ref="D77:D78"/>
    <mergeCell ref="D91:D92"/>
    <mergeCell ref="D93:D94"/>
    <mergeCell ref="D95:D96"/>
    <mergeCell ref="D115:D116"/>
    <mergeCell ref="D117:D118"/>
    <mergeCell ref="D119:D120"/>
    <mergeCell ref="D121:D122"/>
    <mergeCell ref="D123:D124"/>
    <mergeCell ref="D125:D126"/>
    <mergeCell ref="D85:D86"/>
    <mergeCell ref="D87:D88"/>
    <mergeCell ref="D89:D90"/>
    <mergeCell ref="D97:D98"/>
    <mergeCell ref="D99:D100"/>
    <mergeCell ref="D101:D102"/>
    <mergeCell ref="D103:D104"/>
    <mergeCell ref="D105:D106"/>
    <mergeCell ref="D107:D108"/>
    <mergeCell ref="D157:D158"/>
    <mergeCell ref="D159:D160"/>
    <mergeCell ref="D161:D162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D155:D156"/>
    <mergeCell ref="D127:D128"/>
    <mergeCell ref="D129:D130"/>
    <mergeCell ref="D131:D132"/>
    <mergeCell ref="D133:D134"/>
    <mergeCell ref="D135:D136"/>
    <mergeCell ref="D137:D138"/>
    <mergeCell ref="D109:D110"/>
    <mergeCell ref="D111:D112"/>
    <mergeCell ref="D113:D114"/>
    <mergeCell ref="D199:D200"/>
    <mergeCell ref="D201:D202"/>
    <mergeCell ref="D203:D204"/>
    <mergeCell ref="D205:D206"/>
    <mergeCell ref="D187:D188"/>
    <mergeCell ref="D189:D190"/>
    <mergeCell ref="D191:D192"/>
    <mergeCell ref="D193:D194"/>
    <mergeCell ref="D195:D196"/>
    <mergeCell ref="D197:D198"/>
    <mergeCell ref="D175:D176"/>
    <mergeCell ref="D177:D178"/>
    <mergeCell ref="D179:D180"/>
    <mergeCell ref="D181:D182"/>
    <mergeCell ref="D183:D184"/>
    <mergeCell ref="D185:D186"/>
    <mergeCell ref="D163:D164"/>
    <mergeCell ref="D165:D166"/>
    <mergeCell ref="D167:D168"/>
    <mergeCell ref="D169:D170"/>
    <mergeCell ref="D171:D172"/>
    <mergeCell ref="D173:D174"/>
    <mergeCell ref="D225:D226"/>
    <mergeCell ref="D227:D228"/>
    <mergeCell ref="D229:D230"/>
    <mergeCell ref="D231:D232"/>
    <mergeCell ref="D233:D234"/>
    <mergeCell ref="D235:D236"/>
    <mergeCell ref="D237:D238"/>
    <mergeCell ref="D239:D240"/>
    <mergeCell ref="D241:D242"/>
    <mergeCell ref="D207:D208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D259:D260"/>
    <mergeCell ref="D297:D298"/>
    <mergeCell ref="D299:D300"/>
    <mergeCell ref="D301:D302"/>
    <mergeCell ref="D303:D304"/>
    <mergeCell ref="D305:D306"/>
    <mergeCell ref="D307:D308"/>
    <mergeCell ref="D309:D310"/>
    <mergeCell ref="D311:D312"/>
    <mergeCell ref="D313:D314"/>
    <mergeCell ref="D279:D280"/>
    <mergeCell ref="D281:D282"/>
    <mergeCell ref="D283:D284"/>
    <mergeCell ref="D285:D286"/>
    <mergeCell ref="D287:D288"/>
    <mergeCell ref="D289:D290"/>
    <mergeCell ref="D291:D292"/>
    <mergeCell ref="D293:D294"/>
    <mergeCell ref="D295:D296"/>
    <mergeCell ref="D333:D334"/>
    <mergeCell ref="D335:D336"/>
    <mergeCell ref="D337:D338"/>
    <mergeCell ref="D339:D340"/>
    <mergeCell ref="D341:D342"/>
    <mergeCell ref="D343:D344"/>
    <mergeCell ref="D345:D346"/>
    <mergeCell ref="D347:D348"/>
    <mergeCell ref="D349:D350"/>
    <mergeCell ref="D315:D316"/>
    <mergeCell ref="D317:D318"/>
    <mergeCell ref="D319:D320"/>
    <mergeCell ref="D321:D322"/>
    <mergeCell ref="D323:D324"/>
    <mergeCell ref="D325:D326"/>
    <mergeCell ref="D327:D328"/>
    <mergeCell ref="D329:D330"/>
    <mergeCell ref="D331:D332"/>
    <mergeCell ref="D369:D370"/>
    <mergeCell ref="D371:D372"/>
    <mergeCell ref="D373:D374"/>
    <mergeCell ref="D375:D376"/>
    <mergeCell ref="D377:D378"/>
    <mergeCell ref="D379:D380"/>
    <mergeCell ref="D381:D382"/>
    <mergeCell ref="D383:D384"/>
    <mergeCell ref="D385:D386"/>
    <mergeCell ref="D351:D352"/>
    <mergeCell ref="D353:D354"/>
    <mergeCell ref="D355:D356"/>
    <mergeCell ref="D357:D358"/>
    <mergeCell ref="D359:D360"/>
    <mergeCell ref="D361:D362"/>
    <mergeCell ref="D363:D364"/>
    <mergeCell ref="D365:D366"/>
    <mergeCell ref="D367:D368"/>
    <mergeCell ref="D405:D406"/>
    <mergeCell ref="D407:D408"/>
    <mergeCell ref="D409:D410"/>
    <mergeCell ref="D411:D412"/>
    <mergeCell ref="D413:D414"/>
    <mergeCell ref="D415:D416"/>
    <mergeCell ref="D417:D418"/>
    <mergeCell ref="D419:D420"/>
    <mergeCell ref="D421:D422"/>
    <mergeCell ref="D387:D388"/>
    <mergeCell ref="D389:D390"/>
    <mergeCell ref="D391:D392"/>
    <mergeCell ref="D393:D394"/>
    <mergeCell ref="D395:D396"/>
    <mergeCell ref="D397:D398"/>
    <mergeCell ref="D399:D400"/>
    <mergeCell ref="D401:D402"/>
    <mergeCell ref="D403:D404"/>
    <mergeCell ref="D441:D442"/>
    <mergeCell ref="D443:D444"/>
    <mergeCell ref="D445:D446"/>
    <mergeCell ref="D447:D448"/>
    <mergeCell ref="D449:D450"/>
    <mergeCell ref="D451:D452"/>
    <mergeCell ref="D453:D454"/>
    <mergeCell ref="D455:D456"/>
    <mergeCell ref="D457:D458"/>
    <mergeCell ref="D423:D424"/>
    <mergeCell ref="D425:D426"/>
    <mergeCell ref="D427:D428"/>
    <mergeCell ref="D429:D430"/>
    <mergeCell ref="D431:D432"/>
    <mergeCell ref="D433:D434"/>
    <mergeCell ref="D435:D436"/>
    <mergeCell ref="D437:D438"/>
    <mergeCell ref="D439:D440"/>
    <mergeCell ref="D477:D478"/>
    <mergeCell ref="D479:D480"/>
    <mergeCell ref="D481:D482"/>
    <mergeCell ref="D483:D484"/>
    <mergeCell ref="D485:D486"/>
    <mergeCell ref="D487:D488"/>
    <mergeCell ref="D489:D490"/>
    <mergeCell ref="D491:D492"/>
    <mergeCell ref="D493:D494"/>
    <mergeCell ref="D459:D460"/>
    <mergeCell ref="D461:D462"/>
    <mergeCell ref="D463:D464"/>
    <mergeCell ref="D465:D466"/>
    <mergeCell ref="D467:D468"/>
    <mergeCell ref="D469:D470"/>
    <mergeCell ref="D471:D472"/>
    <mergeCell ref="D473:D474"/>
    <mergeCell ref="D475:D476"/>
    <mergeCell ref="D513:D514"/>
    <mergeCell ref="D515:D516"/>
    <mergeCell ref="D517:D518"/>
    <mergeCell ref="D519:D520"/>
    <mergeCell ref="D521:D522"/>
    <mergeCell ref="D523:D524"/>
    <mergeCell ref="D525:D526"/>
    <mergeCell ref="D527:D528"/>
    <mergeCell ref="D529:D530"/>
    <mergeCell ref="D495:D496"/>
    <mergeCell ref="D497:D498"/>
    <mergeCell ref="D499:D500"/>
    <mergeCell ref="D501:D502"/>
    <mergeCell ref="D503:D504"/>
    <mergeCell ref="D505:D506"/>
    <mergeCell ref="D507:D508"/>
    <mergeCell ref="D509:D510"/>
    <mergeCell ref="D511:D512"/>
    <mergeCell ref="D549:D550"/>
    <mergeCell ref="D551:D552"/>
    <mergeCell ref="D553:D554"/>
    <mergeCell ref="D555:D556"/>
    <mergeCell ref="D557:D558"/>
    <mergeCell ref="D559:D560"/>
    <mergeCell ref="D561:D562"/>
    <mergeCell ref="D563:D564"/>
    <mergeCell ref="D565:D566"/>
    <mergeCell ref="D531:D532"/>
    <mergeCell ref="D533:D534"/>
    <mergeCell ref="D535:D536"/>
    <mergeCell ref="D537:D538"/>
    <mergeCell ref="D539:D540"/>
    <mergeCell ref="D541:D542"/>
    <mergeCell ref="D543:D544"/>
    <mergeCell ref="D545:D546"/>
    <mergeCell ref="D547:D548"/>
    <mergeCell ref="D585:D586"/>
    <mergeCell ref="D587:D588"/>
    <mergeCell ref="D589:D590"/>
    <mergeCell ref="D591:D592"/>
    <mergeCell ref="D593:D594"/>
    <mergeCell ref="D595:D596"/>
    <mergeCell ref="D597:D598"/>
    <mergeCell ref="D599:D600"/>
    <mergeCell ref="D601:D602"/>
    <mergeCell ref="D567:D568"/>
    <mergeCell ref="D569:D570"/>
    <mergeCell ref="D571:D572"/>
    <mergeCell ref="D573:D574"/>
    <mergeCell ref="D575:D576"/>
    <mergeCell ref="D577:D578"/>
    <mergeCell ref="D579:D580"/>
    <mergeCell ref="D581:D582"/>
    <mergeCell ref="D583:D584"/>
    <mergeCell ref="D621:D622"/>
    <mergeCell ref="D623:D624"/>
    <mergeCell ref="D625:D626"/>
    <mergeCell ref="D627:D628"/>
    <mergeCell ref="D629:D630"/>
    <mergeCell ref="D631:D632"/>
    <mergeCell ref="D633:D634"/>
    <mergeCell ref="D635:D636"/>
    <mergeCell ref="D637:D638"/>
    <mergeCell ref="D603:D604"/>
    <mergeCell ref="D605:D606"/>
    <mergeCell ref="D607:D608"/>
    <mergeCell ref="D609:D610"/>
    <mergeCell ref="D611:D612"/>
    <mergeCell ref="D613:D614"/>
    <mergeCell ref="D615:D616"/>
    <mergeCell ref="D617:D618"/>
    <mergeCell ref="D619:D620"/>
    <mergeCell ref="D657:D658"/>
    <mergeCell ref="D659:D660"/>
    <mergeCell ref="D661:D662"/>
    <mergeCell ref="D663:D664"/>
    <mergeCell ref="D665:D666"/>
    <mergeCell ref="D667:D668"/>
    <mergeCell ref="D669:D670"/>
    <mergeCell ref="D671:D672"/>
    <mergeCell ref="D673:D674"/>
    <mergeCell ref="D639:D640"/>
    <mergeCell ref="D641:D642"/>
    <mergeCell ref="D643:D644"/>
    <mergeCell ref="D645:D646"/>
    <mergeCell ref="D647:D648"/>
    <mergeCell ref="D649:D650"/>
    <mergeCell ref="D651:D652"/>
    <mergeCell ref="D653:D654"/>
    <mergeCell ref="D655:D656"/>
    <mergeCell ref="D693:D694"/>
    <mergeCell ref="D695:D696"/>
    <mergeCell ref="D697:D698"/>
    <mergeCell ref="D699:D700"/>
    <mergeCell ref="D701:D702"/>
    <mergeCell ref="D703:D704"/>
    <mergeCell ref="D705:D706"/>
    <mergeCell ref="D707:D708"/>
    <mergeCell ref="D709:D710"/>
    <mergeCell ref="D675:D676"/>
    <mergeCell ref="D677:D678"/>
    <mergeCell ref="D679:D680"/>
    <mergeCell ref="D681:D682"/>
    <mergeCell ref="D683:D684"/>
    <mergeCell ref="D685:D686"/>
    <mergeCell ref="D687:D688"/>
    <mergeCell ref="D689:D690"/>
    <mergeCell ref="D691:D692"/>
    <mergeCell ref="D729:D730"/>
    <mergeCell ref="D731:D732"/>
    <mergeCell ref="D733:D734"/>
    <mergeCell ref="D735:D736"/>
    <mergeCell ref="D737:D738"/>
    <mergeCell ref="D739:D740"/>
    <mergeCell ref="D741:D742"/>
    <mergeCell ref="D743:D744"/>
    <mergeCell ref="D745:D746"/>
    <mergeCell ref="D711:D712"/>
    <mergeCell ref="D713:D714"/>
    <mergeCell ref="D715:D716"/>
    <mergeCell ref="D717:D718"/>
    <mergeCell ref="D719:D720"/>
    <mergeCell ref="D721:D722"/>
    <mergeCell ref="D723:D724"/>
    <mergeCell ref="D725:D726"/>
    <mergeCell ref="D727:D728"/>
    <mergeCell ref="D765:D766"/>
    <mergeCell ref="D767:D768"/>
    <mergeCell ref="D769:D770"/>
    <mergeCell ref="D771:D772"/>
    <mergeCell ref="D773:D774"/>
    <mergeCell ref="D775:D776"/>
    <mergeCell ref="D777:D778"/>
    <mergeCell ref="D779:D780"/>
    <mergeCell ref="D781:D782"/>
    <mergeCell ref="D747:D748"/>
    <mergeCell ref="D749:D750"/>
    <mergeCell ref="D751:D752"/>
    <mergeCell ref="D753:D754"/>
    <mergeCell ref="D755:D756"/>
    <mergeCell ref="D757:D758"/>
    <mergeCell ref="D759:D760"/>
    <mergeCell ref="D761:D762"/>
    <mergeCell ref="D763:D764"/>
    <mergeCell ref="D801:D802"/>
    <mergeCell ref="D803:D804"/>
    <mergeCell ref="D805:D806"/>
    <mergeCell ref="D807:D808"/>
    <mergeCell ref="D809:D810"/>
    <mergeCell ref="D811:D812"/>
    <mergeCell ref="D813:D814"/>
    <mergeCell ref="D815:D816"/>
    <mergeCell ref="D817:D818"/>
    <mergeCell ref="D783:D784"/>
    <mergeCell ref="D785:D786"/>
    <mergeCell ref="D787:D788"/>
    <mergeCell ref="D789:D790"/>
    <mergeCell ref="D791:D792"/>
    <mergeCell ref="D793:D794"/>
    <mergeCell ref="D795:D796"/>
    <mergeCell ref="D797:D798"/>
    <mergeCell ref="D799:D800"/>
    <mergeCell ref="D837:D838"/>
    <mergeCell ref="D839:D840"/>
    <mergeCell ref="D841:D842"/>
    <mergeCell ref="D843:D844"/>
    <mergeCell ref="D845:D846"/>
    <mergeCell ref="D847:D848"/>
    <mergeCell ref="D849:D850"/>
    <mergeCell ref="D851:D852"/>
    <mergeCell ref="D853:D854"/>
    <mergeCell ref="D819:D820"/>
    <mergeCell ref="D821:D822"/>
    <mergeCell ref="D823:D824"/>
    <mergeCell ref="D825:D826"/>
    <mergeCell ref="D827:D828"/>
    <mergeCell ref="D829:D830"/>
    <mergeCell ref="D831:D832"/>
    <mergeCell ref="D833:D834"/>
    <mergeCell ref="D835:D836"/>
    <mergeCell ref="D873:D874"/>
    <mergeCell ref="D875:D876"/>
    <mergeCell ref="D877:D878"/>
    <mergeCell ref="D879:D880"/>
    <mergeCell ref="D881:D882"/>
    <mergeCell ref="D883:D884"/>
    <mergeCell ref="D885:D886"/>
    <mergeCell ref="D887:D888"/>
    <mergeCell ref="D889:D890"/>
    <mergeCell ref="D855:D856"/>
    <mergeCell ref="D857:D858"/>
    <mergeCell ref="D859:D860"/>
    <mergeCell ref="D861:D862"/>
    <mergeCell ref="D863:D864"/>
    <mergeCell ref="D865:D866"/>
    <mergeCell ref="D867:D868"/>
    <mergeCell ref="D869:D870"/>
    <mergeCell ref="D871:D872"/>
    <mergeCell ref="D909:D910"/>
    <mergeCell ref="D911:D912"/>
    <mergeCell ref="D913:D914"/>
    <mergeCell ref="D915:D916"/>
    <mergeCell ref="D917:D918"/>
    <mergeCell ref="D919:D920"/>
    <mergeCell ref="D921:D922"/>
    <mergeCell ref="D923:D924"/>
    <mergeCell ref="D925:D926"/>
    <mergeCell ref="D891:D892"/>
    <mergeCell ref="D893:D894"/>
    <mergeCell ref="D895:D896"/>
    <mergeCell ref="D897:D898"/>
    <mergeCell ref="D899:D900"/>
    <mergeCell ref="D901:D902"/>
    <mergeCell ref="D903:D904"/>
    <mergeCell ref="D905:D906"/>
    <mergeCell ref="D907:D908"/>
    <mergeCell ref="D945:D946"/>
    <mergeCell ref="D947:D948"/>
    <mergeCell ref="D949:D950"/>
    <mergeCell ref="D951:D952"/>
    <mergeCell ref="D953:D954"/>
    <mergeCell ref="D955:D956"/>
    <mergeCell ref="D957:D958"/>
    <mergeCell ref="D959:D960"/>
    <mergeCell ref="D961:D962"/>
    <mergeCell ref="D927:D928"/>
    <mergeCell ref="D929:D930"/>
    <mergeCell ref="D931:D932"/>
    <mergeCell ref="D933:D934"/>
    <mergeCell ref="D935:D936"/>
    <mergeCell ref="D937:D938"/>
    <mergeCell ref="D939:D940"/>
    <mergeCell ref="D941:D942"/>
    <mergeCell ref="D943:D944"/>
    <mergeCell ref="D981:D982"/>
    <mergeCell ref="D983:D984"/>
    <mergeCell ref="D985:D986"/>
    <mergeCell ref="D987:D988"/>
    <mergeCell ref="D989:D990"/>
    <mergeCell ref="D991:D992"/>
    <mergeCell ref="D993:D994"/>
    <mergeCell ref="D995:D996"/>
    <mergeCell ref="D997:D998"/>
    <mergeCell ref="D963:D964"/>
    <mergeCell ref="D965:D966"/>
    <mergeCell ref="D967:D968"/>
    <mergeCell ref="D969:D970"/>
    <mergeCell ref="D971:D972"/>
    <mergeCell ref="D973:D974"/>
    <mergeCell ref="D975:D976"/>
    <mergeCell ref="D977:D978"/>
    <mergeCell ref="D979:D980"/>
    <mergeCell ref="D999:D1000"/>
    <mergeCell ref="E239:E240"/>
    <mergeCell ref="E241:E242"/>
    <mergeCell ref="E243:E244"/>
    <mergeCell ref="E245:E246"/>
    <mergeCell ref="E247:E248"/>
    <mergeCell ref="E249:E250"/>
    <mergeCell ref="E251:E252"/>
    <mergeCell ref="E253:E254"/>
    <mergeCell ref="E255:E256"/>
    <mergeCell ref="E257:E258"/>
    <mergeCell ref="E281:E282"/>
    <mergeCell ref="E283:E284"/>
    <mergeCell ref="E285:E286"/>
    <mergeCell ref="E287:E288"/>
    <mergeCell ref="E289:E290"/>
    <mergeCell ref="E291:E292"/>
    <mergeCell ref="E293:E294"/>
    <mergeCell ref="E313:E314"/>
    <mergeCell ref="E315:E316"/>
    <mergeCell ref="E317:E318"/>
    <mergeCell ref="E319:E320"/>
    <mergeCell ref="E321:E322"/>
    <mergeCell ref="E323:E324"/>
    <mergeCell ref="E207:E208"/>
    <mergeCell ref="E209:E210"/>
    <mergeCell ref="E211:E212"/>
    <mergeCell ref="E213:E214"/>
    <mergeCell ref="E215:E216"/>
    <mergeCell ref="E217:E218"/>
    <mergeCell ref="E219:E220"/>
    <mergeCell ref="E221:E222"/>
    <mergeCell ref="E223:E224"/>
    <mergeCell ref="E225:E226"/>
    <mergeCell ref="E227:E228"/>
    <mergeCell ref="E229:E230"/>
    <mergeCell ref="E231:E232"/>
    <mergeCell ref="E233:E234"/>
    <mergeCell ref="E235:E236"/>
    <mergeCell ref="E237:E238"/>
    <mergeCell ref="E277:E278"/>
    <mergeCell ref="E279:E280"/>
    <mergeCell ref="E259:E260"/>
    <mergeCell ref="E261:E262"/>
    <mergeCell ref="E263:E264"/>
    <mergeCell ref="E265:E266"/>
    <mergeCell ref="E267:E268"/>
    <mergeCell ref="E269:E270"/>
    <mergeCell ref="E271:E272"/>
    <mergeCell ref="E273:E274"/>
    <mergeCell ref="E275:E276"/>
    <mergeCell ref="E325:E326"/>
    <mergeCell ref="E327:E328"/>
    <mergeCell ref="E329:E330"/>
    <mergeCell ref="E295:E296"/>
    <mergeCell ref="E297:E298"/>
    <mergeCell ref="E299:E300"/>
    <mergeCell ref="E301:E302"/>
    <mergeCell ref="E303:E304"/>
    <mergeCell ref="E305:E306"/>
    <mergeCell ref="E307:E308"/>
    <mergeCell ref="E309:E310"/>
    <mergeCell ref="E311:E312"/>
    <mergeCell ref="E349:E350"/>
    <mergeCell ref="E351:E352"/>
    <mergeCell ref="E353:E354"/>
    <mergeCell ref="E355:E356"/>
    <mergeCell ref="E357:E358"/>
    <mergeCell ref="E359:E360"/>
    <mergeCell ref="E361:E362"/>
    <mergeCell ref="E363:E364"/>
    <mergeCell ref="E365:E366"/>
    <mergeCell ref="E331:E332"/>
    <mergeCell ref="E333:E334"/>
    <mergeCell ref="E335:E336"/>
    <mergeCell ref="E337:E338"/>
    <mergeCell ref="E339:E340"/>
    <mergeCell ref="E341:E342"/>
    <mergeCell ref="E343:E344"/>
    <mergeCell ref="E345:E346"/>
    <mergeCell ref="E347:E348"/>
    <mergeCell ref="E385:E386"/>
    <mergeCell ref="E387:E388"/>
    <mergeCell ref="E389:E390"/>
    <mergeCell ref="E391:E392"/>
    <mergeCell ref="E393:E394"/>
    <mergeCell ref="E395:E396"/>
    <mergeCell ref="E397:E398"/>
    <mergeCell ref="E399:E400"/>
    <mergeCell ref="E401:E402"/>
    <mergeCell ref="E367:E368"/>
    <mergeCell ref="E369:E370"/>
    <mergeCell ref="E371:E372"/>
    <mergeCell ref="E373:E374"/>
    <mergeCell ref="E375:E376"/>
    <mergeCell ref="E377:E378"/>
    <mergeCell ref="E379:E380"/>
    <mergeCell ref="E381:E382"/>
    <mergeCell ref="E383:E384"/>
    <mergeCell ref="E421:E422"/>
    <mergeCell ref="E423:E424"/>
    <mergeCell ref="E425:E426"/>
    <mergeCell ref="E427:E428"/>
    <mergeCell ref="E429:E430"/>
    <mergeCell ref="E431:E432"/>
    <mergeCell ref="E433:E434"/>
    <mergeCell ref="E435:E436"/>
    <mergeCell ref="E437:E438"/>
    <mergeCell ref="E403:E404"/>
    <mergeCell ref="E405:E406"/>
    <mergeCell ref="E407:E408"/>
    <mergeCell ref="E409:E410"/>
    <mergeCell ref="E411:E412"/>
    <mergeCell ref="E413:E414"/>
    <mergeCell ref="E415:E416"/>
    <mergeCell ref="E417:E418"/>
    <mergeCell ref="E419:E420"/>
    <mergeCell ref="E457:E458"/>
    <mergeCell ref="E459:E460"/>
    <mergeCell ref="E461:E462"/>
    <mergeCell ref="E463:E464"/>
    <mergeCell ref="E465:E466"/>
    <mergeCell ref="E467:E468"/>
    <mergeCell ref="E469:E470"/>
    <mergeCell ref="E471:E472"/>
    <mergeCell ref="E473:E474"/>
    <mergeCell ref="E439:E440"/>
    <mergeCell ref="E441:E442"/>
    <mergeCell ref="E443:E444"/>
    <mergeCell ref="E445:E446"/>
    <mergeCell ref="E447:E448"/>
    <mergeCell ref="E449:E450"/>
    <mergeCell ref="E451:E452"/>
    <mergeCell ref="E453:E454"/>
    <mergeCell ref="E455:E456"/>
    <mergeCell ref="E493:E494"/>
    <mergeCell ref="E495:E496"/>
    <mergeCell ref="E497:E498"/>
    <mergeCell ref="E499:E500"/>
    <mergeCell ref="E501:E502"/>
    <mergeCell ref="E503:E504"/>
    <mergeCell ref="E505:E506"/>
    <mergeCell ref="E507:E508"/>
    <mergeCell ref="E509:E510"/>
    <mergeCell ref="E475:E476"/>
    <mergeCell ref="E477:E478"/>
    <mergeCell ref="E479:E480"/>
    <mergeCell ref="E481:E482"/>
    <mergeCell ref="E483:E484"/>
    <mergeCell ref="E485:E486"/>
    <mergeCell ref="E487:E488"/>
    <mergeCell ref="E489:E490"/>
    <mergeCell ref="E491:E492"/>
    <mergeCell ref="E529:E530"/>
    <mergeCell ref="E531:E532"/>
    <mergeCell ref="E533:E534"/>
    <mergeCell ref="E535:E536"/>
    <mergeCell ref="E537:E538"/>
    <mergeCell ref="E539:E540"/>
    <mergeCell ref="E541:E542"/>
    <mergeCell ref="E543:E544"/>
    <mergeCell ref="E545:E546"/>
    <mergeCell ref="E511:E512"/>
    <mergeCell ref="E513:E514"/>
    <mergeCell ref="E515:E516"/>
    <mergeCell ref="E517:E518"/>
    <mergeCell ref="E519:E520"/>
    <mergeCell ref="E521:E522"/>
    <mergeCell ref="E523:E524"/>
    <mergeCell ref="E525:E526"/>
    <mergeCell ref="E527:E528"/>
    <mergeCell ref="E565:E566"/>
    <mergeCell ref="E567:E568"/>
    <mergeCell ref="E569:E570"/>
    <mergeCell ref="E571:E572"/>
    <mergeCell ref="E573:E574"/>
    <mergeCell ref="E575:E576"/>
    <mergeCell ref="E577:E578"/>
    <mergeCell ref="E579:E580"/>
    <mergeCell ref="E581:E582"/>
    <mergeCell ref="E547:E548"/>
    <mergeCell ref="E549:E550"/>
    <mergeCell ref="E551:E552"/>
    <mergeCell ref="E553:E554"/>
    <mergeCell ref="E555:E556"/>
    <mergeCell ref="E557:E558"/>
    <mergeCell ref="E559:E560"/>
    <mergeCell ref="E561:E562"/>
    <mergeCell ref="E563:E564"/>
    <mergeCell ref="E601:E602"/>
    <mergeCell ref="E603:E604"/>
    <mergeCell ref="E605:E606"/>
    <mergeCell ref="E607:E608"/>
    <mergeCell ref="E609:E610"/>
    <mergeCell ref="E611:E612"/>
    <mergeCell ref="E613:E614"/>
    <mergeCell ref="E615:E616"/>
    <mergeCell ref="E617:E618"/>
    <mergeCell ref="E583:E584"/>
    <mergeCell ref="E585:E586"/>
    <mergeCell ref="E587:E588"/>
    <mergeCell ref="E589:E590"/>
    <mergeCell ref="E591:E592"/>
    <mergeCell ref="E593:E594"/>
    <mergeCell ref="E595:E596"/>
    <mergeCell ref="E597:E598"/>
    <mergeCell ref="E599:E600"/>
    <mergeCell ref="E637:E638"/>
    <mergeCell ref="E639:E640"/>
    <mergeCell ref="E641:E642"/>
    <mergeCell ref="E643:E644"/>
    <mergeCell ref="E645:E646"/>
    <mergeCell ref="E647:E648"/>
    <mergeCell ref="E649:E650"/>
    <mergeCell ref="E651:E652"/>
    <mergeCell ref="E653:E654"/>
    <mergeCell ref="E619:E620"/>
    <mergeCell ref="E621:E622"/>
    <mergeCell ref="E623:E624"/>
    <mergeCell ref="E625:E626"/>
    <mergeCell ref="E627:E628"/>
    <mergeCell ref="E629:E630"/>
    <mergeCell ref="E631:E632"/>
    <mergeCell ref="E633:E634"/>
    <mergeCell ref="E635:E636"/>
    <mergeCell ref="E673:E674"/>
    <mergeCell ref="E675:E676"/>
    <mergeCell ref="E677:E678"/>
    <mergeCell ref="E679:E680"/>
    <mergeCell ref="E681:E682"/>
    <mergeCell ref="E683:E684"/>
    <mergeCell ref="E685:E686"/>
    <mergeCell ref="E687:E688"/>
    <mergeCell ref="E689:E690"/>
    <mergeCell ref="E655:E656"/>
    <mergeCell ref="E657:E658"/>
    <mergeCell ref="E659:E660"/>
    <mergeCell ref="E661:E662"/>
    <mergeCell ref="E663:E664"/>
    <mergeCell ref="E665:E666"/>
    <mergeCell ref="E667:E668"/>
    <mergeCell ref="E669:E670"/>
    <mergeCell ref="E671:E672"/>
    <mergeCell ref="E709:E710"/>
    <mergeCell ref="E711:E712"/>
    <mergeCell ref="E713:E714"/>
    <mergeCell ref="E715:E716"/>
    <mergeCell ref="E717:E718"/>
    <mergeCell ref="E719:E720"/>
    <mergeCell ref="E721:E722"/>
    <mergeCell ref="E723:E724"/>
    <mergeCell ref="E725:E726"/>
    <mergeCell ref="E691:E692"/>
    <mergeCell ref="E693:E694"/>
    <mergeCell ref="E695:E696"/>
    <mergeCell ref="E697:E698"/>
    <mergeCell ref="E699:E700"/>
    <mergeCell ref="E701:E702"/>
    <mergeCell ref="E703:E704"/>
    <mergeCell ref="E705:E706"/>
    <mergeCell ref="E707:E708"/>
    <mergeCell ref="E745:E746"/>
    <mergeCell ref="E747:E748"/>
    <mergeCell ref="E749:E750"/>
    <mergeCell ref="E751:E752"/>
    <mergeCell ref="E753:E754"/>
    <mergeCell ref="E755:E756"/>
    <mergeCell ref="E757:E758"/>
    <mergeCell ref="E759:E760"/>
    <mergeCell ref="E761:E762"/>
    <mergeCell ref="E727:E728"/>
    <mergeCell ref="E729:E730"/>
    <mergeCell ref="E731:E732"/>
    <mergeCell ref="E733:E734"/>
    <mergeCell ref="E735:E736"/>
    <mergeCell ref="E737:E738"/>
    <mergeCell ref="E739:E740"/>
    <mergeCell ref="E741:E742"/>
    <mergeCell ref="E743:E744"/>
    <mergeCell ref="E781:E782"/>
    <mergeCell ref="E783:E784"/>
    <mergeCell ref="E785:E786"/>
    <mergeCell ref="E787:E788"/>
    <mergeCell ref="E789:E790"/>
    <mergeCell ref="E791:E792"/>
    <mergeCell ref="E793:E794"/>
    <mergeCell ref="E795:E796"/>
    <mergeCell ref="E797:E798"/>
    <mergeCell ref="E763:E764"/>
    <mergeCell ref="E765:E766"/>
    <mergeCell ref="E767:E768"/>
    <mergeCell ref="E769:E770"/>
    <mergeCell ref="E771:E772"/>
    <mergeCell ref="E773:E774"/>
    <mergeCell ref="E775:E776"/>
    <mergeCell ref="E777:E778"/>
    <mergeCell ref="E779:E780"/>
    <mergeCell ref="E817:E818"/>
    <mergeCell ref="E819:E820"/>
    <mergeCell ref="E821:E822"/>
    <mergeCell ref="E823:E824"/>
    <mergeCell ref="E825:E826"/>
    <mergeCell ref="E827:E828"/>
    <mergeCell ref="E829:E830"/>
    <mergeCell ref="E831:E832"/>
    <mergeCell ref="E833:E834"/>
    <mergeCell ref="E799:E800"/>
    <mergeCell ref="E801:E802"/>
    <mergeCell ref="E803:E804"/>
    <mergeCell ref="E805:E806"/>
    <mergeCell ref="E807:E808"/>
    <mergeCell ref="E809:E810"/>
    <mergeCell ref="E811:E812"/>
    <mergeCell ref="E813:E814"/>
    <mergeCell ref="E815:E816"/>
    <mergeCell ref="E853:E854"/>
    <mergeCell ref="E855:E856"/>
    <mergeCell ref="E857:E858"/>
    <mergeCell ref="E859:E860"/>
    <mergeCell ref="E861:E862"/>
    <mergeCell ref="E863:E864"/>
    <mergeCell ref="E865:E866"/>
    <mergeCell ref="E867:E868"/>
    <mergeCell ref="E869:E870"/>
    <mergeCell ref="E835:E836"/>
    <mergeCell ref="E837:E838"/>
    <mergeCell ref="E839:E840"/>
    <mergeCell ref="E841:E842"/>
    <mergeCell ref="E843:E844"/>
    <mergeCell ref="E845:E846"/>
    <mergeCell ref="E847:E848"/>
    <mergeCell ref="E849:E850"/>
    <mergeCell ref="E851:E852"/>
    <mergeCell ref="E889:E890"/>
    <mergeCell ref="E891:E892"/>
    <mergeCell ref="E893:E894"/>
    <mergeCell ref="E895:E896"/>
    <mergeCell ref="E897:E898"/>
    <mergeCell ref="E899:E900"/>
    <mergeCell ref="E901:E902"/>
    <mergeCell ref="E903:E904"/>
    <mergeCell ref="E905:E906"/>
    <mergeCell ref="E871:E872"/>
    <mergeCell ref="E873:E874"/>
    <mergeCell ref="E875:E876"/>
    <mergeCell ref="E877:E878"/>
    <mergeCell ref="E879:E880"/>
    <mergeCell ref="E881:E882"/>
    <mergeCell ref="E883:E884"/>
    <mergeCell ref="E885:E886"/>
    <mergeCell ref="E887:E888"/>
    <mergeCell ref="E925:E926"/>
    <mergeCell ref="E927:E928"/>
    <mergeCell ref="E929:E930"/>
    <mergeCell ref="E931:E932"/>
    <mergeCell ref="E933:E934"/>
    <mergeCell ref="E935:E936"/>
    <mergeCell ref="E937:E938"/>
    <mergeCell ref="E939:E940"/>
    <mergeCell ref="E941:E942"/>
    <mergeCell ref="E907:E908"/>
    <mergeCell ref="E909:E910"/>
    <mergeCell ref="E911:E912"/>
    <mergeCell ref="E913:E914"/>
    <mergeCell ref="E915:E916"/>
    <mergeCell ref="E917:E918"/>
    <mergeCell ref="E919:E920"/>
    <mergeCell ref="E921:E922"/>
    <mergeCell ref="E923:E924"/>
    <mergeCell ref="E961:E962"/>
    <mergeCell ref="E963:E964"/>
    <mergeCell ref="E965:E966"/>
    <mergeCell ref="E967:E968"/>
    <mergeCell ref="E969:E970"/>
    <mergeCell ref="E971:E972"/>
    <mergeCell ref="E973:E974"/>
    <mergeCell ref="E975:E976"/>
    <mergeCell ref="E977:E978"/>
    <mergeCell ref="E943:E944"/>
    <mergeCell ref="E945:E946"/>
    <mergeCell ref="E947:E948"/>
    <mergeCell ref="E949:E950"/>
    <mergeCell ref="E951:E952"/>
    <mergeCell ref="E953:E954"/>
    <mergeCell ref="E955:E956"/>
    <mergeCell ref="E957:E958"/>
    <mergeCell ref="E959:E960"/>
    <mergeCell ref="E997:E998"/>
    <mergeCell ref="E999:E1000"/>
    <mergeCell ref="E979:E980"/>
    <mergeCell ref="E981:E982"/>
    <mergeCell ref="E983:E984"/>
    <mergeCell ref="E985:E986"/>
    <mergeCell ref="E987:E988"/>
    <mergeCell ref="E989:E990"/>
    <mergeCell ref="E991:E992"/>
    <mergeCell ref="E993:E994"/>
    <mergeCell ref="E995:E996"/>
  </mergeCells>
  <conditionalFormatting sqref="EG19:EG20 EG11:EG13 EG16:EG17 EG25:EG27 EF31:EF33 ED7:ED30 ED4:EE5 ED31:EE1000">
    <cfRule type="expression" dxfId="148" priority="201" stopIfTrue="1">
      <formula>ED4=0</formula>
    </cfRule>
  </conditionalFormatting>
  <conditionalFormatting sqref="A13:B24">
    <cfRule type="expression" dxfId="147" priority="82" stopIfTrue="1">
      <formula>A13=0</formula>
    </cfRule>
  </conditionalFormatting>
  <conditionalFormatting sqref="EE13:EF24">
    <cfRule type="expression" dxfId="146" priority="80" stopIfTrue="1">
      <formula>EE13=0</formula>
    </cfRule>
  </conditionalFormatting>
  <conditionalFormatting sqref="F6:EC1000 AL4:EC5">
    <cfRule type="expression" dxfId="145" priority="77">
      <formula>F4=0</formula>
    </cfRule>
  </conditionalFormatting>
  <conditionalFormatting sqref="F4:AK5">
    <cfRule type="expression" dxfId="144" priority="1">
      <formula>F4=0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">
                <anchor moveWithCells="1" sizeWithCells="1">
                  <from>
                    <xdr:col>0</xdr:col>
                    <xdr:colOff>276225</xdr:colOff>
                    <xdr:row>3</xdr:row>
                    <xdr:rowOff>9525</xdr:rowOff>
                  </from>
                  <to>
                    <xdr:col>2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b">
                <anchor moveWithCells="1" siz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3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b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a">
                <anchor moveWithCells="1" sizeWithCells="1">
                  <from>
                    <xdr:col>2</xdr:col>
                    <xdr:colOff>9525</xdr:colOff>
                    <xdr:row>3</xdr:row>
                    <xdr:rowOff>28575</xdr:rowOff>
                  </from>
                  <to>
                    <xdr:col>3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a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b">
                <anchor moveWithCells="1" sizeWithCells="1">
                  <from>
                    <xdr:col>3</xdr:col>
                    <xdr:colOff>28575</xdr:colOff>
                    <xdr:row>4</xdr:row>
                    <xdr:rowOff>28575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66675</xdr:rowOff>
                  </from>
                  <to>
                    <xdr:col>2</xdr:col>
                    <xdr:colOff>295275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Pict="0" macro="[0]!genera">
                <anchor moveWithCells="1" sizeWithCells="1">
                  <from>
                    <xdr:col>4</xdr:col>
                    <xdr:colOff>28575</xdr:colOff>
                    <xdr:row>1</xdr:row>
                    <xdr:rowOff>66675</xdr:rowOff>
                  </from>
                  <to>
                    <xdr:col>4</xdr:col>
                    <xdr:colOff>276225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2" name="Button 7">
              <controlPr defaultSize="0" print="0" autoFill="0" autoPict="0" macro="[0]!rrb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5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3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3</xdr:row>
                    <xdr:rowOff>28575</xdr:rowOff>
                  </from>
                  <to>
                    <xdr:col>5</xdr:col>
                    <xdr:colOff>38100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28575</xdr:rowOff>
                  </from>
                  <to>
                    <xdr:col>5</xdr:col>
                    <xdr:colOff>38100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D8088-2927-4282-B0F7-FE5424DB301E}">
  <dimension ref="E3:AN672"/>
  <sheetViews>
    <sheetView topLeftCell="A655" zoomScale="140" zoomScaleNormal="140" workbookViewId="0">
      <selection activeCell="H667" sqref="H667"/>
    </sheetView>
  </sheetViews>
  <sheetFormatPr baseColWidth="10" defaultColWidth="3.625" defaultRowHeight="15.75" x14ac:dyDescent="0.5"/>
  <sheetData>
    <row r="3" spans="5:40" x14ac:dyDescent="0.5">
      <c r="E3">
        <v>0</v>
      </c>
      <c r="F3" t="s">
        <v>11</v>
      </c>
      <c r="G3">
        <v>0</v>
      </c>
      <c r="H3" t="s">
        <v>11</v>
      </c>
      <c r="I3">
        <v>1</v>
      </c>
      <c r="J3">
        <v>2</v>
      </c>
      <c r="K3">
        <v>3</v>
      </c>
      <c r="L3">
        <v>9</v>
      </c>
      <c r="M3">
        <v>11</v>
      </c>
      <c r="N3">
        <v>25</v>
      </c>
      <c r="O3">
        <v>7</v>
      </c>
      <c r="P3">
        <v>19</v>
      </c>
      <c r="Q3">
        <v>27</v>
      </c>
      <c r="R3">
        <v>14</v>
      </c>
      <c r="S3">
        <v>5</v>
      </c>
      <c r="T3">
        <v>10</v>
      </c>
      <c r="U3">
        <v>30</v>
      </c>
      <c r="V3">
        <v>15</v>
      </c>
      <c r="W3">
        <v>16</v>
      </c>
      <c r="X3">
        <v>29</v>
      </c>
      <c r="Y3">
        <v>8</v>
      </c>
      <c r="Z3">
        <v>24</v>
      </c>
      <c r="AA3">
        <v>4</v>
      </c>
      <c r="AB3">
        <v>17</v>
      </c>
      <c r="AC3">
        <v>28</v>
      </c>
      <c r="AD3">
        <v>20</v>
      </c>
      <c r="AE3">
        <v>22</v>
      </c>
      <c r="AF3">
        <v>13</v>
      </c>
      <c r="AG3">
        <v>18</v>
      </c>
      <c r="AH3">
        <v>32</v>
      </c>
      <c r="AI3">
        <v>6</v>
      </c>
      <c r="AJ3">
        <v>23</v>
      </c>
      <c r="AK3">
        <v>12</v>
      </c>
      <c r="AL3">
        <v>21</v>
      </c>
      <c r="AM3">
        <v>31</v>
      </c>
      <c r="AN3">
        <v>26</v>
      </c>
    </row>
    <row r="5" spans="5:40" x14ac:dyDescent="0.5">
      <c r="E5">
        <v>1</v>
      </c>
      <c r="F5" t="s">
        <v>13</v>
      </c>
      <c r="G5">
        <v>1</v>
      </c>
      <c r="H5" t="s">
        <v>13</v>
      </c>
      <c r="I5">
        <v>2</v>
      </c>
      <c r="J5">
        <v>3</v>
      </c>
      <c r="K5">
        <v>9</v>
      </c>
      <c r="L5">
        <v>11</v>
      </c>
      <c r="M5">
        <v>25</v>
      </c>
      <c r="N5">
        <v>7</v>
      </c>
      <c r="O5">
        <v>19</v>
      </c>
      <c r="P5">
        <v>27</v>
      </c>
      <c r="Q5">
        <v>14</v>
      </c>
      <c r="R5">
        <v>5</v>
      </c>
      <c r="S5">
        <v>10</v>
      </c>
      <c r="T5">
        <v>30</v>
      </c>
      <c r="U5">
        <v>15</v>
      </c>
      <c r="V5">
        <v>16</v>
      </c>
      <c r="W5">
        <v>29</v>
      </c>
      <c r="X5">
        <v>8</v>
      </c>
      <c r="Y5">
        <v>24</v>
      </c>
      <c r="Z5">
        <v>4</v>
      </c>
      <c r="AA5">
        <v>17</v>
      </c>
      <c r="AB5">
        <v>28</v>
      </c>
      <c r="AC5">
        <v>20</v>
      </c>
      <c r="AD5">
        <v>22</v>
      </c>
      <c r="AE5">
        <v>13</v>
      </c>
      <c r="AF5">
        <v>18</v>
      </c>
      <c r="AG5">
        <v>32</v>
      </c>
      <c r="AH5">
        <v>6</v>
      </c>
      <c r="AI5">
        <v>23</v>
      </c>
      <c r="AJ5">
        <v>12</v>
      </c>
      <c r="AK5">
        <v>21</v>
      </c>
      <c r="AL5">
        <v>31</v>
      </c>
      <c r="AM5">
        <v>26</v>
      </c>
    </row>
    <row r="6" spans="5:40" x14ac:dyDescent="0.5">
      <c r="I6">
        <v>1</v>
      </c>
    </row>
    <row r="7" spans="5:40" x14ac:dyDescent="0.5">
      <c r="E7">
        <v>2</v>
      </c>
      <c r="F7" t="s">
        <v>13</v>
      </c>
      <c r="G7">
        <v>2</v>
      </c>
      <c r="H7" t="s">
        <v>13</v>
      </c>
      <c r="I7">
        <v>3</v>
      </c>
      <c r="J7">
        <v>9</v>
      </c>
      <c r="K7">
        <v>11</v>
      </c>
      <c r="L7">
        <v>25</v>
      </c>
      <c r="M7">
        <v>7</v>
      </c>
      <c r="N7">
        <v>19</v>
      </c>
      <c r="O7">
        <v>27</v>
      </c>
      <c r="P7">
        <v>14</v>
      </c>
      <c r="Q7">
        <v>5</v>
      </c>
      <c r="R7">
        <v>10</v>
      </c>
      <c r="S7">
        <v>30</v>
      </c>
      <c r="T7">
        <v>15</v>
      </c>
      <c r="U7">
        <v>16</v>
      </c>
      <c r="V7">
        <v>29</v>
      </c>
      <c r="W7">
        <v>8</v>
      </c>
      <c r="X7">
        <v>24</v>
      </c>
      <c r="Y7">
        <v>4</v>
      </c>
      <c r="Z7">
        <v>17</v>
      </c>
      <c r="AA7">
        <v>28</v>
      </c>
      <c r="AB7">
        <v>20</v>
      </c>
      <c r="AC7">
        <v>22</v>
      </c>
      <c r="AD7">
        <v>13</v>
      </c>
      <c r="AE7">
        <v>18</v>
      </c>
      <c r="AF7">
        <v>32</v>
      </c>
      <c r="AG7">
        <v>6</v>
      </c>
      <c r="AH7">
        <v>23</v>
      </c>
      <c r="AI7">
        <v>12</v>
      </c>
      <c r="AJ7">
        <v>21</v>
      </c>
      <c r="AK7">
        <v>31</v>
      </c>
      <c r="AL7">
        <v>26</v>
      </c>
    </row>
    <row r="8" spans="5:40" x14ac:dyDescent="0.5">
      <c r="I8">
        <v>2</v>
      </c>
      <c r="J8">
        <v>1</v>
      </c>
    </row>
    <row r="9" spans="5:40" x14ac:dyDescent="0.5">
      <c r="E9">
        <v>3</v>
      </c>
      <c r="F9" t="s">
        <v>13</v>
      </c>
      <c r="G9">
        <v>3</v>
      </c>
      <c r="H9" t="s">
        <v>13</v>
      </c>
      <c r="I9">
        <v>9</v>
      </c>
      <c r="J9">
        <v>11</v>
      </c>
      <c r="K9">
        <v>25</v>
      </c>
      <c r="L9">
        <v>7</v>
      </c>
      <c r="M9">
        <v>19</v>
      </c>
      <c r="N9">
        <v>27</v>
      </c>
      <c r="O9">
        <v>14</v>
      </c>
      <c r="P9">
        <v>5</v>
      </c>
      <c r="Q9">
        <v>10</v>
      </c>
      <c r="R9">
        <v>30</v>
      </c>
      <c r="S9">
        <v>15</v>
      </c>
      <c r="T9">
        <v>16</v>
      </c>
      <c r="U9">
        <v>29</v>
      </c>
      <c r="V9">
        <v>8</v>
      </c>
      <c r="W9">
        <v>24</v>
      </c>
      <c r="X9">
        <v>4</v>
      </c>
      <c r="Y9">
        <v>17</v>
      </c>
      <c r="Z9">
        <v>28</v>
      </c>
      <c r="AA9">
        <v>20</v>
      </c>
      <c r="AB9">
        <v>22</v>
      </c>
      <c r="AC9">
        <v>13</v>
      </c>
      <c r="AD9">
        <v>18</v>
      </c>
      <c r="AE9">
        <v>32</v>
      </c>
      <c r="AF9">
        <v>6</v>
      </c>
      <c r="AG9">
        <v>23</v>
      </c>
      <c r="AH9">
        <v>12</v>
      </c>
      <c r="AI9">
        <v>21</v>
      </c>
      <c r="AJ9">
        <v>31</v>
      </c>
      <c r="AK9">
        <v>26</v>
      </c>
    </row>
    <row r="10" spans="5:40" x14ac:dyDescent="0.5">
      <c r="I10">
        <v>3</v>
      </c>
      <c r="J10">
        <v>2</v>
      </c>
      <c r="K10">
        <v>1</v>
      </c>
    </row>
    <row r="13" spans="5:40" x14ac:dyDescent="0.5">
      <c r="E13">
        <v>0</v>
      </c>
      <c r="F13" t="s">
        <v>11</v>
      </c>
      <c r="G13">
        <v>1</v>
      </c>
      <c r="H13">
        <v>3</v>
      </c>
      <c r="I13">
        <v>2</v>
      </c>
      <c r="J13">
        <v>9</v>
      </c>
      <c r="K13">
        <v>11</v>
      </c>
      <c r="L13">
        <v>25</v>
      </c>
      <c r="M13">
        <v>7</v>
      </c>
      <c r="N13">
        <v>19</v>
      </c>
      <c r="O13">
        <v>27</v>
      </c>
      <c r="P13">
        <v>14</v>
      </c>
      <c r="Q13">
        <v>5</v>
      </c>
      <c r="R13">
        <v>10</v>
      </c>
      <c r="S13">
        <v>30</v>
      </c>
      <c r="T13">
        <v>15</v>
      </c>
      <c r="U13">
        <v>16</v>
      </c>
      <c r="V13">
        <v>29</v>
      </c>
      <c r="W13">
        <v>8</v>
      </c>
      <c r="X13">
        <v>24</v>
      </c>
      <c r="Y13">
        <v>4</v>
      </c>
      <c r="Z13">
        <v>17</v>
      </c>
      <c r="AA13">
        <v>28</v>
      </c>
      <c r="AB13">
        <v>20</v>
      </c>
      <c r="AC13">
        <v>22</v>
      </c>
      <c r="AD13">
        <v>13</v>
      </c>
      <c r="AE13">
        <v>18</v>
      </c>
      <c r="AF13">
        <v>32</v>
      </c>
      <c r="AG13">
        <v>6</v>
      </c>
      <c r="AH13">
        <v>23</v>
      </c>
      <c r="AI13">
        <v>12</v>
      </c>
      <c r="AJ13">
        <v>21</v>
      </c>
      <c r="AK13">
        <v>31</v>
      </c>
      <c r="AL13">
        <v>26</v>
      </c>
    </row>
    <row r="15" spans="5:40" x14ac:dyDescent="0.5">
      <c r="E15">
        <v>1</v>
      </c>
      <c r="F15" t="s">
        <v>13</v>
      </c>
      <c r="G15">
        <v>3</v>
      </c>
      <c r="H15">
        <v>2</v>
      </c>
      <c r="I15">
        <v>9</v>
      </c>
      <c r="J15">
        <v>11</v>
      </c>
      <c r="K15">
        <v>25</v>
      </c>
      <c r="L15">
        <v>7</v>
      </c>
      <c r="M15">
        <v>19</v>
      </c>
      <c r="N15">
        <v>27</v>
      </c>
      <c r="O15">
        <v>14</v>
      </c>
      <c r="P15">
        <v>5</v>
      </c>
      <c r="Q15">
        <v>10</v>
      </c>
      <c r="R15">
        <v>30</v>
      </c>
      <c r="S15">
        <v>15</v>
      </c>
      <c r="T15">
        <v>16</v>
      </c>
      <c r="U15">
        <v>29</v>
      </c>
      <c r="V15">
        <v>8</v>
      </c>
      <c r="W15">
        <v>24</v>
      </c>
      <c r="X15">
        <v>4</v>
      </c>
      <c r="Y15">
        <v>17</v>
      </c>
      <c r="Z15">
        <v>28</v>
      </c>
      <c r="AA15">
        <v>20</v>
      </c>
      <c r="AB15">
        <v>22</v>
      </c>
      <c r="AC15">
        <v>13</v>
      </c>
      <c r="AD15">
        <v>18</v>
      </c>
      <c r="AE15">
        <v>32</v>
      </c>
      <c r="AF15">
        <v>6</v>
      </c>
      <c r="AG15">
        <v>23</v>
      </c>
      <c r="AH15">
        <v>12</v>
      </c>
      <c r="AI15">
        <v>21</v>
      </c>
      <c r="AJ15">
        <v>31</v>
      </c>
      <c r="AK15">
        <v>26</v>
      </c>
    </row>
    <row r="16" spans="5:40" x14ac:dyDescent="0.5">
      <c r="G16">
        <v>1</v>
      </c>
    </row>
    <row r="17" spans="5:38" x14ac:dyDescent="0.5">
      <c r="E17">
        <v>2</v>
      </c>
      <c r="F17" t="s">
        <v>18</v>
      </c>
      <c r="G17">
        <v>2</v>
      </c>
      <c r="H17">
        <v>3</v>
      </c>
      <c r="I17">
        <v>9</v>
      </c>
      <c r="J17">
        <v>11</v>
      </c>
      <c r="K17">
        <v>25</v>
      </c>
      <c r="L17">
        <v>7</v>
      </c>
      <c r="M17">
        <v>19</v>
      </c>
      <c r="N17">
        <v>27</v>
      </c>
      <c r="O17">
        <v>14</v>
      </c>
      <c r="P17">
        <v>5</v>
      </c>
      <c r="Q17">
        <v>10</v>
      </c>
      <c r="R17">
        <v>30</v>
      </c>
      <c r="S17">
        <v>15</v>
      </c>
      <c r="T17">
        <v>16</v>
      </c>
      <c r="U17">
        <v>29</v>
      </c>
      <c r="V17">
        <v>8</v>
      </c>
      <c r="W17">
        <v>24</v>
      </c>
      <c r="X17">
        <v>4</v>
      </c>
      <c r="Y17">
        <v>17</v>
      </c>
      <c r="Z17">
        <v>28</v>
      </c>
      <c r="AA17">
        <v>20</v>
      </c>
      <c r="AB17">
        <v>22</v>
      </c>
      <c r="AC17">
        <v>13</v>
      </c>
      <c r="AD17">
        <v>18</v>
      </c>
      <c r="AE17">
        <v>32</v>
      </c>
      <c r="AF17">
        <v>6</v>
      </c>
      <c r="AG17">
        <v>23</v>
      </c>
      <c r="AH17">
        <v>12</v>
      </c>
      <c r="AI17">
        <v>21</v>
      </c>
      <c r="AJ17">
        <v>31</v>
      </c>
      <c r="AK17">
        <v>26</v>
      </c>
    </row>
    <row r="18" spans="5:38" x14ac:dyDescent="0.5">
      <c r="G18">
        <v>1</v>
      </c>
    </row>
    <row r="19" spans="5:38" x14ac:dyDescent="0.5">
      <c r="E19">
        <v>3</v>
      </c>
      <c r="F19" t="s">
        <v>13</v>
      </c>
      <c r="G19">
        <v>3</v>
      </c>
      <c r="H19">
        <v>9</v>
      </c>
      <c r="I19">
        <v>11</v>
      </c>
      <c r="J19">
        <v>25</v>
      </c>
      <c r="K19">
        <v>7</v>
      </c>
      <c r="L19">
        <v>19</v>
      </c>
      <c r="M19">
        <v>27</v>
      </c>
      <c r="N19">
        <v>14</v>
      </c>
      <c r="O19">
        <v>5</v>
      </c>
      <c r="P19">
        <v>10</v>
      </c>
      <c r="Q19">
        <v>30</v>
      </c>
      <c r="R19">
        <v>15</v>
      </c>
      <c r="S19">
        <v>16</v>
      </c>
      <c r="T19">
        <v>29</v>
      </c>
      <c r="U19">
        <v>8</v>
      </c>
      <c r="V19">
        <v>24</v>
      </c>
      <c r="W19">
        <v>4</v>
      </c>
      <c r="X19">
        <v>17</v>
      </c>
      <c r="Y19">
        <v>28</v>
      </c>
      <c r="Z19">
        <v>20</v>
      </c>
      <c r="AA19">
        <v>22</v>
      </c>
      <c r="AB19">
        <v>13</v>
      </c>
      <c r="AC19">
        <v>18</v>
      </c>
      <c r="AD19">
        <v>32</v>
      </c>
      <c r="AE19">
        <v>6</v>
      </c>
      <c r="AF19">
        <v>23</v>
      </c>
      <c r="AG19">
        <v>12</v>
      </c>
      <c r="AH19">
        <v>21</v>
      </c>
      <c r="AI19">
        <v>31</v>
      </c>
      <c r="AJ19">
        <v>26</v>
      </c>
    </row>
    <row r="20" spans="5:38" x14ac:dyDescent="0.5">
      <c r="G20">
        <v>2</v>
      </c>
      <c r="H20">
        <v>1</v>
      </c>
    </row>
    <row r="21" spans="5:38" x14ac:dyDescent="0.5">
      <c r="E21">
        <v>4</v>
      </c>
      <c r="F21" t="s">
        <v>13</v>
      </c>
      <c r="G21">
        <v>9</v>
      </c>
      <c r="H21">
        <v>11</v>
      </c>
      <c r="I21">
        <v>25</v>
      </c>
      <c r="J21">
        <v>7</v>
      </c>
      <c r="K21">
        <v>19</v>
      </c>
      <c r="L21">
        <v>27</v>
      </c>
      <c r="M21">
        <v>14</v>
      </c>
      <c r="N21">
        <v>5</v>
      </c>
      <c r="O21">
        <v>10</v>
      </c>
      <c r="P21">
        <v>30</v>
      </c>
      <c r="Q21">
        <v>15</v>
      </c>
      <c r="R21">
        <v>16</v>
      </c>
      <c r="S21">
        <v>29</v>
      </c>
      <c r="T21">
        <v>8</v>
      </c>
      <c r="U21">
        <v>24</v>
      </c>
      <c r="V21">
        <v>4</v>
      </c>
      <c r="W21">
        <v>17</v>
      </c>
      <c r="X21">
        <v>28</v>
      </c>
      <c r="Y21">
        <v>20</v>
      </c>
      <c r="Z21">
        <v>22</v>
      </c>
      <c r="AA21">
        <v>13</v>
      </c>
      <c r="AB21">
        <v>18</v>
      </c>
      <c r="AC21">
        <v>32</v>
      </c>
      <c r="AD21">
        <v>6</v>
      </c>
      <c r="AE21">
        <v>23</v>
      </c>
      <c r="AF21">
        <v>12</v>
      </c>
      <c r="AG21">
        <v>21</v>
      </c>
      <c r="AH21">
        <v>31</v>
      </c>
      <c r="AI21">
        <v>26</v>
      </c>
    </row>
    <row r="22" spans="5:38" x14ac:dyDescent="0.5">
      <c r="G22">
        <v>3</v>
      </c>
      <c r="H22">
        <v>2</v>
      </c>
      <c r="I22">
        <v>1</v>
      </c>
    </row>
    <row r="25" spans="5:38" x14ac:dyDescent="0.5">
      <c r="E25">
        <v>0</v>
      </c>
      <c r="F25" t="s">
        <v>11</v>
      </c>
      <c r="G25">
        <v>2</v>
      </c>
      <c r="H25">
        <v>1</v>
      </c>
      <c r="I25">
        <v>3</v>
      </c>
      <c r="J25">
        <v>9</v>
      </c>
      <c r="K25">
        <v>11</v>
      </c>
      <c r="L25">
        <v>25</v>
      </c>
      <c r="M25">
        <v>7</v>
      </c>
      <c r="N25">
        <v>19</v>
      </c>
      <c r="O25">
        <v>27</v>
      </c>
      <c r="P25">
        <v>14</v>
      </c>
      <c r="Q25">
        <v>5</v>
      </c>
      <c r="R25">
        <v>10</v>
      </c>
      <c r="S25">
        <v>30</v>
      </c>
      <c r="T25">
        <v>15</v>
      </c>
      <c r="U25">
        <v>16</v>
      </c>
      <c r="V25">
        <v>29</v>
      </c>
      <c r="W25">
        <v>8</v>
      </c>
      <c r="X25">
        <v>24</v>
      </c>
      <c r="Y25">
        <v>4</v>
      </c>
      <c r="Z25">
        <v>17</v>
      </c>
      <c r="AA25">
        <v>28</v>
      </c>
      <c r="AB25">
        <v>20</v>
      </c>
      <c r="AC25">
        <v>22</v>
      </c>
      <c r="AD25">
        <v>13</v>
      </c>
      <c r="AE25">
        <v>18</v>
      </c>
      <c r="AF25">
        <v>32</v>
      </c>
      <c r="AG25">
        <v>6</v>
      </c>
      <c r="AH25">
        <v>23</v>
      </c>
      <c r="AI25">
        <v>12</v>
      </c>
      <c r="AJ25">
        <v>21</v>
      </c>
      <c r="AK25">
        <v>31</v>
      </c>
      <c r="AL25">
        <v>26</v>
      </c>
    </row>
    <row r="27" spans="5:38" x14ac:dyDescent="0.5">
      <c r="E27">
        <v>1</v>
      </c>
      <c r="F27" t="s">
        <v>18</v>
      </c>
      <c r="G27">
        <v>1</v>
      </c>
      <c r="H27">
        <v>2</v>
      </c>
      <c r="I27">
        <v>3</v>
      </c>
      <c r="J27">
        <v>9</v>
      </c>
      <c r="K27">
        <v>11</v>
      </c>
      <c r="L27">
        <v>25</v>
      </c>
      <c r="M27">
        <v>7</v>
      </c>
      <c r="N27">
        <v>19</v>
      </c>
      <c r="O27">
        <v>27</v>
      </c>
      <c r="P27">
        <v>14</v>
      </c>
      <c r="Q27">
        <v>5</v>
      </c>
      <c r="R27">
        <v>10</v>
      </c>
      <c r="S27">
        <v>30</v>
      </c>
      <c r="T27">
        <v>15</v>
      </c>
      <c r="U27">
        <v>16</v>
      </c>
      <c r="V27">
        <v>29</v>
      </c>
      <c r="W27">
        <v>8</v>
      </c>
      <c r="X27">
        <v>24</v>
      </c>
      <c r="Y27">
        <v>4</v>
      </c>
      <c r="Z27">
        <v>17</v>
      </c>
      <c r="AA27">
        <v>28</v>
      </c>
      <c r="AB27">
        <v>20</v>
      </c>
      <c r="AC27">
        <v>22</v>
      </c>
      <c r="AD27">
        <v>13</v>
      </c>
      <c r="AE27">
        <v>18</v>
      </c>
      <c r="AF27">
        <v>32</v>
      </c>
      <c r="AG27">
        <v>6</v>
      </c>
      <c r="AH27">
        <v>23</v>
      </c>
      <c r="AI27">
        <v>12</v>
      </c>
      <c r="AJ27">
        <v>21</v>
      </c>
      <c r="AK27">
        <v>31</v>
      </c>
      <c r="AL27">
        <v>26</v>
      </c>
    </row>
    <row r="29" spans="5:38" x14ac:dyDescent="0.5">
      <c r="E29">
        <v>2</v>
      </c>
      <c r="F29" t="s">
        <v>13</v>
      </c>
      <c r="G29">
        <v>2</v>
      </c>
      <c r="H29">
        <v>3</v>
      </c>
      <c r="I29">
        <v>9</v>
      </c>
      <c r="J29">
        <v>11</v>
      </c>
      <c r="K29">
        <v>25</v>
      </c>
      <c r="L29">
        <v>7</v>
      </c>
      <c r="M29">
        <v>19</v>
      </c>
      <c r="N29">
        <v>27</v>
      </c>
      <c r="O29">
        <v>14</v>
      </c>
      <c r="P29">
        <v>5</v>
      </c>
      <c r="Q29">
        <v>10</v>
      </c>
      <c r="R29">
        <v>30</v>
      </c>
      <c r="S29">
        <v>15</v>
      </c>
      <c r="T29">
        <v>16</v>
      </c>
      <c r="U29">
        <v>29</v>
      </c>
      <c r="V29">
        <v>8</v>
      </c>
      <c r="W29">
        <v>24</v>
      </c>
      <c r="X29">
        <v>4</v>
      </c>
      <c r="Y29">
        <v>17</v>
      </c>
      <c r="Z29">
        <v>28</v>
      </c>
      <c r="AA29">
        <v>20</v>
      </c>
      <c r="AB29">
        <v>22</v>
      </c>
      <c r="AC29">
        <v>13</v>
      </c>
      <c r="AD29">
        <v>18</v>
      </c>
      <c r="AE29">
        <v>32</v>
      </c>
      <c r="AF29">
        <v>6</v>
      </c>
      <c r="AG29">
        <v>23</v>
      </c>
      <c r="AH29">
        <v>12</v>
      </c>
      <c r="AI29">
        <v>21</v>
      </c>
      <c r="AJ29">
        <v>31</v>
      </c>
      <c r="AK29">
        <v>26</v>
      </c>
    </row>
    <row r="30" spans="5:38" x14ac:dyDescent="0.5">
      <c r="G30">
        <v>1</v>
      </c>
    </row>
    <row r="31" spans="5:38" x14ac:dyDescent="0.5">
      <c r="E31">
        <v>3</v>
      </c>
      <c r="F31" t="s">
        <v>13</v>
      </c>
      <c r="G31">
        <v>3</v>
      </c>
      <c r="H31">
        <v>9</v>
      </c>
      <c r="I31">
        <v>11</v>
      </c>
      <c r="J31">
        <v>25</v>
      </c>
      <c r="K31">
        <v>7</v>
      </c>
      <c r="L31">
        <v>19</v>
      </c>
      <c r="M31">
        <v>27</v>
      </c>
      <c r="N31">
        <v>14</v>
      </c>
      <c r="O31">
        <v>5</v>
      </c>
      <c r="P31">
        <v>10</v>
      </c>
      <c r="Q31">
        <v>30</v>
      </c>
      <c r="R31">
        <v>15</v>
      </c>
      <c r="S31">
        <v>16</v>
      </c>
      <c r="T31">
        <v>29</v>
      </c>
      <c r="U31">
        <v>8</v>
      </c>
      <c r="V31">
        <v>24</v>
      </c>
      <c r="W31">
        <v>4</v>
      </c>
      <c r="X31">
        <v>17</v>
      </c>
      <c r="Y31">
        <v>28</v>
      </c>
      <c r="Z31">
        <v>20</v>
      </c>
      <c r="AA31">
        <v>22</v>
      </c>
      <c r="AB31">
        <v>13</v>
      </c>
      <c r="AC31">
        <v>18</v>
      </c>
      <c r="AD31">
        <v>32</v>
      </c>
      <c r="AE31">
        <v>6</v>
      </c>
      <c r="AF31">
        <v>23</v>
      </c>
      <c r="AG31">
        <v>12</v>
      </c>
      <c r="AH31">
        <v>21</v>
      </c>
      <c r="AI31">
        <v>31</v>
      </c>
      <c r="AJ31">
        <v>26</v>
      </c>
    </row>
    <row r="32" spans="5:38" x14ac:dyDescent="0.5">
      <c r="G32">
        <v>2</v>
      </c>
      <c r="H32">
        <v>1</v>
      </c>
    </row>
    <row r="33" spans="5:38" x14ac:dyDescent="0.5">
      <c r="E33">
        <v>4</v>
      </c>
      <c r="F33" t="s">
        <v>13</v>
      </c>
      <c r="G33">
        <v>9</v>
      </c>
      <c r="H33">
        <v>11</v>
      </c>
      <c r="I33">
        <v>25</v>
      </c>
      <c r="J33">
        <v>7</v>
      </c>
      <c r="K33">
        <v>19</v>
      </c>
      <c r="L33">
        <v>27</v>
      </c>
      <c r="M33">
        <v>14</v>
      </c>
      <c r="N33">
        <v>5</v>
      </c>
      <c r="O33">
        <v>10</v>
      </c>
      <c r="P33">
        <v>30</v>
      </c>
      <c r="Q33">
        <v>15</v>
      </c>
      <c r="R33">
        <v>16</v>
      </c>
      <c r="S33">
        <v>29</v>
      </c>
      <c r="T33">
        <v>8</v>
      </c>
      <c r="U33">
        <v>24</v>
      </c>
      <c r="V33">
        <v>4</v>
      </c>
      <c r="W33">
        <v>17</v>
      </c>
      <c r="X33">
        <v>28</v>
      </c>
      <c r="Y33">
        <v>20</v>
      </c>
      <c r="Z33">
        <v>22</v>
      </c>
      <c r="AA33">
        <v>13</v>
      </c>
      <c r="AB33">
        <v>18</v>
      </c>
      <c r="AC33">
        <v>32</v>
      </c>
      <c r="AD33">
        <v>6</v>
      </c>
      <c r="AE33">
        <v>23</v>
      </c>
      <c r="AF33">
        <v>12</v>
      </c>
      <c r="AG33">
        <v>21</v>
      </c>
      <c r="AH33">
        <v>31</v>
      </c>
      <c r="AI33">
        <v>26</v>
      </c>
    </row>
    <row r="34" spans="5:38" x14ac:dyDescent="0.5">
      <c r="G34">
        <v>3</v>
      </c>
      <c r="H34">
        <v>2</v>
      </c>
      <c r="I34">
        <v>1</v>
      </c>
    </row>
    <row r="37" spans="5:38" x14ac:dyDescent="0.5">
      <c r="E37">
        <v>0</v>
      </c>
      <c r="F37" t="s">
        <v>11</v>
      </c>
      <c r="G37">
        <v>2</v>
      </c>
      <c r="H37">
        <v>3</v>
      </c>
      <c r="I37">
        <v>1</v>
      </c>
      <c r="J37">
        <v>9</v>
      </c>
      <c r="K37">
        <v>11</v>
      </c>
      <c r="L37">
        <v>25</v>
      </c>
      <c r="M37">
        <v>7</v>
      </c>
      <c r="N37">
        <v>19</v>
      </c>
      <c r="O37">
        <v>27</v>
      </c>
      <c r="P37">
        <v>14</v>
      </c>
      <c r="Q37">
        <v>5</v>
      </c>
      <c r="R37">
        <v>10</v>
      </c>
      <c r="S37">
        <v>30</v>
      </c>
      <c r="T37">
        <v>15</v>
      </c>
      <c r="U37">
        <v>16</v>
      </c>
      <c r="V37">
        <v>29</v>
      </c>
      <c r="W37">
        <v>8</v>
      </c>
      <c r="X37">
        <v>24</v>
      </c>
      <c r="Y37">
        <v>4</v>
      </c>
      <c r="Z37">
        <v>17</v>
      </c>
      <c r="AA37">
        <v>28</v>
      </c>
      <c r="AB37">
        <v>20</v>
      </c>
      <c r="AC37">
        <v>22</v>
      </c>
      <c r="AD37">
        <v>13</v>
      </c>
      <c r="AE37">
        <v>18</v>
      </c>
      <c r="AF37">
        <v>32</v>
      </c>
      <c r="AG37">
        <v>6</v>
      </c>
      <c r="AH37">
        <v>23</v>
      </c>
      <c r="AI37">
        <v>12</v>
      </c>
      <c r="AJ37">
        <v>21</v>
      </c>
      <c r="AK37">
        <v>31</v>
      </c>
      <c r="AL37">
        <v>26</v>
      </c>
    </row>
    <row r="39" spans="5:38" x14ac:dyDescent="0.5">
      <c r="E39">
        <v>1</v>
      </c>
      <c r="F39" t="s">
        <v>13</v>
      </c>
      <c r="G39">
        <v>3</v>
      </c>
      <c r="H39">
        <v>1</v>
      </c>
      <c r="I39">
        <v>9</v>
      </c>
      <c r="J39">
        <v>11</v>
      </c>
      <c r="K39">
        <v>25</v>
      </c>
      <c r="L39">
        <v>7</v>
      </c>
      <c r="M39">
        <v>19</v>
      </c>
      <c r="N39">
        <v>27</v>
      </c>
      <c r="O39">
        <v>14</v>
      </c>
      <c r="P39">
        <v>5</v>
      </c>
      <c r="Q39">
        <v>10</v>
      </c>
      <c r="R39">
        <v>30</v>
      </c>
      <c r="S39">
        <v>15</v>
      </c>
      <c r="T39">
        <v>16</v>
      </c>
      <c r="U39">
        <v>29</v>
      </c>
      <c r="V39">
        <v>8</v>
      </c>
      <c r="W39">
        <v>24</v>
      </c>
      <c r="X39">
        <v>4</v>
      </c>
      <c r="Y39">
        <v>17</v>
      </c>
      <c r="Z39">
        <v>28</v>
      </c>
      <c r="AA39">
        <v>20</v>
      </c>
      <c r="AB39">
        <v>22</v>
      </c>
      <c r="AC39">
        <v>13</v>
      </c>
      <c r="AD39">
        <v>18</v>
      </c>
      <c r="AE39">
        <v>32</v>
      </c>
      <c r="AF39">
        <v>6</v>
      </c>
      <c r="AG39">
        <v>23</v>
      </c>
      <c r="AH39">
        <v>12</v>
      </c>
      <c r="AI39">
        <v>21</v>
      </c>
      <c r="AJ39">
        <v>31</v>
      </c>
      <c r="AK39">
        <v>26</v>
      </c>
    </row>
    <row r="40" spans="5:38" x14ac:dyDescent="0.5">
      <c r="G40">
        <v>2</v>
      </c>
    </row>
    <row r="41" spans="5:38" x14ac:dyDescent="0.5">
      <c r="E41">
        <v>2</v>
      </c>
      <c r="F41" t="s">
        <v>13</v>
      </c>
      <c r="G41">
        <v>1</v>
      </c>
      <c r="H41">
        <v>9</v>
      </c>
      <c r="I41">
        <v>11</v>
      </c>
      <c r="J41">
        <v>25</v>
      </c>
      <c r="K41">
        <v>7</v>
      </c>
      <c r="L41">
        <v>19</v>
      </c>
      <c r="M41">
        <v>27</v>
      </c>
      <c r="N41">
        <v>14</v>
      </c>
      <c r="O41">
        <v>5</v>
      </c>
      <c r="P41">
        <v>10</v>
      </c>
      <c r="Q41">
        <v>30</v>
      </c>
      <c r="R41">
        <v>15</v>
      </c>
      <c r="S41">
        <v>16</v>
      </c>
      <c r="T41">
        <v>29</v>
      </c>
      <c r="U41">
        <v>8</v>
      </c>
      <c r="V41">
        <v>24</v>
      </c>
      <c r="W41">
        <v>4</v>
      </c>
      <c r="X41">
        <v>17</v>
      </c>
      <c r="Y41">
        <v>28</v>
      </c>
      <c r="Z41">
        <v>20</v>
      </c>
      <c r="AA41">
        <v>22</v>
      </c>
      <c r="AB41">
        <v>13</v>
      </c>
      <c r="AC41">
        <v>18</v>
      </c>
      <c r="AD41">
        <v>32</v>
      </c>
      <c r="AE41">
        <v>6</v>
      </c>
      <c r="AF41">
        <v>23</v>
      </c>
      <c r="AG41">
        <v>12</v>
      </c>
      <c r="AH41">
        <v>21</v>
      </c>
      <c r="AI41">
        <v>31</v>
      </c>
      <c r="AJ41">
        <v>26</v>
      </c>
    </row>
    <row r="42" spans="5:38" x14ac:dyDescent="0.5">
      <c r="G42">
        <v>3</v>
      </c>
      <c r="H42">
        <v>2</v>
      </c>
    </row>
    <row r="43" spans="5:38" x14ac:dyDescent="0.5">
      <c r="E43">
        <v>3</v>
      </c>
      <c r="F43" t="s">
        <v>13</v>
      </c>
      <c r="G43">
        <v>9</v>
      </c>
      <c r="H43">
        <v>11</v>
      </c>
      <c r="I43">
        <v>25</v>
      </c>
      <c r="J43">
        <v>7</v>
      </c>
      <c r="K43">
        <v>19</v>
      </c>
      <c r="L43">
        <v>27</v>
      </c>
      <c r="M43">
        <v>14</v>
      </c>
      <c r="N43">
        <v>5</v>
      </c>
      <c r="O43">
        <v>10</v>
      </c>
      <c r="P43">
        <v>30</v>
      </c>
      <c r="Q43">
        <v>15</v>
      </c>
      <c r="R43">
        <v>16</v>
      </c>
      <c r="S43">
        <v>29</v>
      </c>
      <c r="T43">
        <v>8</v>
      </c>
      <c r="U43">
        <v>24</v>
      </c>
      <c r="V43">
        <v>4</v>
      </c>
      <c r="W43">
        <v>17</v>
      </c>
      <c r="X43">
        <v>28</v>
      </c>
      <c r="Y43">
        <v>20</v>
      </c>
      <c r="Z43">
        <v>22</v>
      </c>
      <c r="AA43">
        <v>13</v>
      </c>
      <c r="AB43">
        <v>18</v>
      </c>
      <c r="AC43">
        <v>32</v>
      </c>
      <c r="AD43">
        <v>6</v>
      </c>
      <c r="AE43">
        <v>23</v>
      </c>
      <c r="AF43">
        <v>12</v>
      </c>
      <c r="AG43">
        <v>21</v>
      </c>
      <c r="AH43">
        <v>31</v>
      </c>
      <c r="AI43">
        <v>26</v>
      </c>
    </row>
    <row r="44" spans="5:38" x14ac:dyDescent="0.5">
      <c r="G44">
        <v>1</v>
      </c>
      <c r="H44">
        <v>3</v>
      </c>
      <c r="I44">
        <v>2</v>
      </c>
    </row>
    <row r="47" spans="5:38" x14ac:dyDescent="0.5">
      <c r="E47">
        <v>0</v>
      </c>
      <c r="F47" t="s">
        <v>11</v>
      </c>
      <c r="G47">
        <v>3</v>
      </c>
      <c r="H47">
        <v>1</v>
      </c>
      <c r="I47">
        <v>2</v>
      </c>
      <c r="J47">
        <v>9</v>
      </c>
      <c r="K47">
        <v>11</v>
      </c>
      <c r="L47">
        <v>25</v>
      </c>
      <c r="M47">
        <v>7</v>
      </c>
      <c r="N47">
        <v>19</v>
      </c>
      <c r="O47">
        <v>27</v>
      </c>
      <c r="P47">
        <v>14</v>
      </c>
      <c r="Q47">
        <v>5</v>
      </c>
      <c r="R47">
        <v>10</v>
      </c>
      <c r="S47">
        <v>30</v>
      </c>
      <c r="T47">
        <v>15</v>
      </c>
      <c r="U47">
        <v>16</v>
      </c>
      <c r="V47">
        <v>29</v>
      </c>
      <c r="W47">
        <v>8</v>
      </c>
      <c r="X47">
        <v>24</v>
      </c>
      <c r="Y47">
        <v>4</v>
      </c>
      <c r="Z47">
        <v>17</v>
      </c>
      <c r="AA47">
        <v>28</v>
      </c>
      <c r="AB47">
        <v>20</v>
      </c>
      <c r="AC47">
        <v>22</v>
      </c>
      <c r="AD47">
        <v>13</v>
      </c>
      <c r="AE47">
        <v>18</v>
      </c>
      <c r="AF47">
        <v>32</v>
      </c>
      <c r="AG47">
        <v>6</v>
      </c>
      <c r="AH47">
        <v>23</v>
      </c>
      <c r="AI47">
        <v>12</v>
      </c>
      <c r="AJ47">
        <v>21</v>
      </c>
      <c r="AK47">
        <v>31</v>
      </c>
      <c r="AL47">
        <v>26</v>
      </c>
    </row>
    <row r="49" spans="5:38" x14ac:dyDescent="0.5">
      <c r="E49">
        <v>1</v>
      </c>
      <c r="F49" t="s">
        <v>18</v>
      </c>
      <c r="G49">
        <v>1</v>
      </c>
      <c r="H49">
        <v>3</v>
      </c>
      <c r="I49">
        <v>2</v>
      </c>
      <c r="J49">
        <v>9</v>
      </c>
      <c r="K49">
        <v>11</v>
      </c>
      <c r="L49">
        <v>25</v>
      </c>
      <c r="M49">
        <v>7</v>
      </c>
      <c r="N49">
        <v>19</v>
      </c>
      <c r="O49">
        <v>27</v>
      </c>
      <c r="P49">
        <v>14</v>
      </c>
      <c r="Q49">
        <v>5</v>
      </c>
      <c r="R49">
        <v>10</v>
      </c>
      <c r="S49">
        <v>30</v>
      </c>
      <c r="T49">
        <v>15</v>
      </c>
      <c r="U49">
        <v>16</v>
      </c>
      <c r="V49">
        <v>29</v>
      </c>
      <c r="W49">
        <v>8</v>
      </c>
      <c r="X49">
        <v>24</v>
      </c>
      <c r="Y49">
        <v>4</v>
      </c>
      <c r="Z49">
        <v>17</v>
      </c>
      <c r="AA49">
        <v>28</v>
      </c>
      <c r="AB49">
        <v>20</v>
      </c>
      <c r="AC49">
        <v>22</v>
      </c>
      <c r="AD49">
        <v>13</v>
      </c>
      <c r="AE49">
        <v>18</v>
      </c>
      <c r="AF49">
        <v>32</v>
      </c>
      <c r="AG49">
        <v>6</v>
      </c>
      <c r="AH49">
        <v>23</v>
      </c>
      <c r="AI49">
        <v>12</v>
      </c>
      <c r="AJ49">
        <v>21</v>
      </c>
      <c r="AK49">
        <v>31</v>
      </c>
      <c r="AL49">
        <v>26</v>
      </c>
    </row>
    <row r="51" spans="5:38" x14ac:dyDescent="0.5">
      <c r="E51">
        <v>2</v>
      </c>
      <c r="F51" t="s">
        <v>13</v>
      </c>
      <c r="G51">
        <v>3</v>
      </c>
      <c r="H51">
        <v>2</v>
      </c>
      <c r="I51">
        <v>9</v>
      </c>
      <c r="J51">
        <v>11</v>
      </c>
      <c r="K51">
        <v>25</v>
      </c>
      <c r="L51">
        <v>7</v>
      </c>
      <c r="M51">
        <v>19</v>
      </c>
      <c r="N51">
        <v>27</v>
      </c>
      <c r="O51">
        <v>14</v>
      </c>
      <c r="P51">
        <v>5</v>
      </c>
      <c r="Q51">
        <v>10</v>
      </c>
      <c r="R51">
        <v>30</v>
      </c>
      <c r="S51">
        <v>15</v>
      </c>
      <c r="T51">
        <v>16</v>
      </c>
      <c r="U51">
        <v>29</v>
      </c>
      <c r="V51">
        <v>8</v>
      </c>
      <c r="W51">
        <v>24</v>
      </c>
      <c r="X51">
        <v>4</v>
      </c>
      <c r="Y51">
        <v>17</v>
      </c>
      <c r="Z51">
        <v>28</v>
      </c>
      <c r="AA51">
        <v>20</v>
      </c>
      <c r="AB51">
        <v>22</v>
      </c>
      <c r="AC51">
        <v>13</v>
      </c>
      <c r="AD51">
        <v>18</v>
      </c>
      <c r="AE51">
        <v>32</v>
      </c>
      <c r="AF51">
        <v>6</v>
      </c>
      <c r="AG51">
        <v>23</v>
      </c>
      <c r="AH51">
        <v>12</v>
      </c>
      <c r="AI51">
        <v>21</v>
      </c>
      <c r="AJ51">
        <v>31</v>
      </c>
      <c r="AK51">
        <v>26</v>
      </c>
    </row>
    <row r="52" spans="5:38" x14ac:dyDescent="0.5">
      <c r="G52">
        <v>1</v>
      </c>
    </row>
    <row r="53" spans="5:38" x14ac:dyDescent="0.5">
      <c r="E53">
        <v>3</v>
      </c>
      <c r="F53" t="s">
        <v>18</v>
      </c>
      <c r="G53">
        <v>2</v>
      </c>
      <c r="H53">
        <v>3</v>
      </c>
      <c r="I53">
        <v>9</v>
      </c>
      <c r="J53">
        <v>11</v>
      </c>
      <c r="K53">
        <v>25</v>
      </c>
      <c r="L53">
        <v>7</v>
      </c>
      <c r="M53">
        <v>19</v>
      </c>
      <c r="N53">
        <v>27</v>
      </c>
      <c r="O53">
        <v>14</v>
      </c>
      <c r="P53">
        <v>5</v>
      </c>
      <c r="Q53">
        <v>10</v>
      </c>
      <c r="R53">
        <v>30</v>
      </c>
      <c r="S53">
        <v>15</v>
      </c>
      <c r="T53">
        <v>16</v>
      </c>
      <c r="U53">
        <v>29</v>
      </c>
      <c r="V53">
        <v>8</v>
      </c>
      <c r="W53">
        <v>24</v>
      </c>
      <c r="X53">
        <v>4</v>
      </c>
      <c r="Y53">
        <v>17</v>
      </c>
      <c r="Z53">
        <v>28</v>
      </c>
      <c r="AA53">
        <v>20</v>
      </c>
      <c r="AB53">
        <v>22</v>
      </c>
      <c r="AC53">
        <v>13</v>
      </c>
      <c r="AD53">
        <v>18</v>
      </c>
      <c r="AE53">
        <v>32</v>
      </c>
      <c r="AF53">
        <v>6</v>
      </c>
      <c r="AG53">
        <v>23</v>
      </c>
      <c r="AH53">
        <v>12</v>
      </c>
      <c r="AI53">
        <v>21</v>
      </c>
      <c r="AJ53">
        <v>31</v>
      </c>
      <c r="AK53">
        <v>26</v>
      </c>
    </row>
    <row r="54" spans="5:38" x14ac:dyDescent="0.5">
      <c r="G54">
        <v>1</v>
      </c>
    </row>
    <row r="55" spans="5:38" x14ac:dyDescent="0.5">
      <c r="E55">
        <v>4</v>
      </c>
      <c r="F55" t="s">
        <v>13</v>
      </c>
      <c r="G55">
        <v>3</v>
      </c>
      <c r="H55">
        <v>9</v>
      </c>
      <c r="I55">
        <v>11</v>
      </c>
      <c r="J55">
        <v>25</v>
      </c>
      <c r="K55">
        <v>7</v>
      </c>
      <c r="L55">
        <v>19</v>
      </c>
      <c r="M55">
        <v>27</v>
      </c>
      <c r="N55">
        <v>14</v>
      </c>
      <c r="O55">
        <v>5</v>
      </c>
      <c r="P55">
        <v>10</v>
      </c>
      <c r="Q55">
        <v>30</v>
      </c>
      <c r="R55">
        <v>15</v>
      </c>
      <c r="S55">
        <v>16</v>
      </c>
      <c r="T55">
        <v>29</v>
      </c>
      <c r="U55">
        <v>8</v>
      </c>
      <c r="V55">
        <v>24</v>
      </c>
      <c r="W55">
        <v>4</v>
      </c>
      <c r="X55">
        <v>17</v>
      </c>
      <c r="Y55">
        <v>28</v>
      </c>
      <c r="Z55">
        <v>20</v>
      </c>
      <c r="AA55">
        <v>22</v>
      </c>
      <c r="AB55">
        <v>13</v>
      </c>
      <c r="AC55">
        <v>18</v>
      </c>
      <c r="AD55">
        <v>32</v>
      </c>
      <c r="AE55">
        <v>6</v>
      </c>
      <c r="AF55">
        <v>23</v>
      </c>
      <c r="AG55">
        <v>12</v>
      </c>
      <c r="AH55">
        <v>21</v>
      </c>
      <c r="AI55">
        <v>31</v>
      </c>
      <c r="AJ55">
        <v>26</v>
      </c>
    </row>
    <row r="56" spans="5:38" x14ac:dyDescent="0.5">
      <c r="G56">
        <v>2</v>
      </c>
      <c r="H56">
        <v>1</v>
      </c>
    </row>
    <row r="57" spans="5:38" x14ac:dyDescent="0.5">
      <c r="E57">
        <v>5</v>
      </c>
      <c r="F57" t="s">
        <v>13</v>
      </c>
      <c r="G57">
        <v>9</v>
      </c>
      <c r="H57">
        <v>11</v>
      </c>
      <c r="I57">
        <v>25</v>
      </c>
      <c r="J57">
        <v>7</v>
      </c>
      <c r="K57">
        <v>19</v>
      </c>
      <c r="L57">
        <v>27</v>
      </c>
      <c r="M57">
        <v>14</v>
      </c>
      <c r="N57">
        <v>5</v>
      </c>
      <c r="O57">
        <v>10</v>
      </c>
      <c r="P57">
        <v>30</v>
      </c>
      <c r="Q57">
        <v>15</v>
      </c>
      <c r="R57">
        <v>16</v>
      </c>
      <c r="S57">
        <v>29</v>
      </c>
      <c r="T57">
        <v>8</v>
      </c>
      <c r="U57">
        <v>24</v>
      </c>
      <c r="V57">
        <v>4</v>
      </c>
      <c r="W57">
        <v>17</v>
      </c>
      <c r="X57">
        <v>28</v>
      </c>
      <c r="Y57">
        <v>20</v>
      </c>
      <c r="Z57">
        <v>22</v>
      </c>
      <c r="AA57">
        <v>13</v>
      </c>
      <c r="AB57">
        <v>18</v>
      </c>
      <c r="AC57">
        <v>32</v>
      </c>
      <c r="AD57">
        <v>6</v>
      </c>
      <c r="AE57">
        <v>23</v>
      </c>
      <c r="AF57">
        <v>12</v>
      </c>
      <c r="AG57">
        <v>21</v>
      </c>
      <c r="AH57">
        <v>31</v>
      </c>
      <c r="AI57">
        <v>26</v>
      </c>
    </row>
    <row r="58" spans="5:38" x14ac:dyDescent="0.5">
      <c r="G58">
        <v>3</v>
      </c>
      <c r="H58">
        <v>2</v>
      </c>
      <c r="I58">
        <v>1</v>
      </c>
    </row>
    <row r="61" spans="5:38" x14ac:dyDescent="0.5">
      <c r="E61">
        <v>0</v>
      </c>
      <c r="F61" t="s">
        <v>11</v>
      </c>
      <c r="G61">
        <v>3</v>
      </c>
      <c r="H61">
        <v>2</v>
      </c>
      <c r="I61">
        <v>1</v>
      </c>
      <c r="J61">
        <v>9</v>
      </c>
      <c r="K61">
        <v>11</v>
      </c>
      <c r="L61">
        <v>25</v>
      </c>
      <c r="M61">
        <v>7</v>
      </c>
      <c r="N61">
        <v>19</v>
      </c>
      <c r="O61">
        <v>27</v>
      </c>
      <c r="P61">
        <v>14</v>
      </c>
      <c r="Q61">
        <v>5</v>
      </c>
      <c r="R61">
        <v>10</v>
      </c>
      <c r="S61">
        <v>30</v>
      </c>
      <c r="T61">
        <v>15</v>
      </c>
      <c r="U61">
        <v>16</v>
      </c>
      <c r="V61">
        <v>29</v>
      </c>
      <c r="W61">
        <v>8</v>
      </c>
      <c r="X61">
        <v>24</v>
      </c>
      <c r="Y61">
        <v>4</v>
      </c>
      <c r="Z61">
        <v>17</v>
      </c>
      <c r="AA61">
        <v>28</v>
      </c>
      <c r="AB61">
        <v>20</v>
      </c>
      <c r="AC61">
        <v>22</v>
      </c>
      <c r="AD61">
        <v>13</v>
      </c>
      <c r="AE61">
        <v>18</v>
      </c>
      <c r="AF61">
        <v>32</v>
      </c>
      <c r="AG61">
        <v>6</v>
      </c>
      <c r="AH61">
        <v>23</v>
      </c>
      <c r="AI61">
        <v>12</v>
      </c>
      <c r="AJ61">
        <v>21</v>
      </c>
      <c r="AK61">
        <v>31</v>
      </c>
      <c r="AL61">
        <v>26</v>
      </c>
    </row>
    <row r="63" spans="5:38" x14ac:dyDescent="0.5">
      <c r="E63">
        <v>1</v>
      </c>
      <c r="F63" t="s">
        <v>13</v>
      </c>
      <c r="G63">
        <v>2</v>
      </c>
      <c r="H63">
        <v>1</v>
      </c>
      <c r="I63">
        <v>9</v>
      </c>
      <c r="J63">
        <v>11</v>
      </c>
      <c r="K63">
        <v>25</v>
      </c>
      <c r="L63">
        <v>7</v>
      </c>
      <c r="M63">
        <v>19</v>
      </c>
      <c r="N63">
        <v>27</v>
      </c>
      <c r="O63">
        <v>14</v>
      </c>
      <c r="P63">
        <v>5</v>
      </c>
      <c r="Q63">
        <v>10</v>
      </c>
      <c r="R63">
        <v>30</v>
      </c>
      <c r="S63">
        <v>15</v>
      </c>
      <c r="T63">
        <v>16</v>
      </c>
      <c r="U63">
        <v>29</v>
      </c>
      <c r="V63">
        <v>8</v>
      </c>
      <c r="W63">
        <v>24</v>
      </c>
      <c r="X63">
        <v>4</v>
      </c>
      <c r="Y63">
        <v>17</v>
      </c>
      <c r="Z63">
        <v>28</v>
      </c>
      <c r="AA63">
        <v>20</v>
      </c>
      <c r="AB63">
        <v>22</v>
      </c>
      <c r="AC63">
        <v>13</v>
      </c>
      <c r="AD63">
        <v>18</v>
      </c>
      <c r="AE63">
        <v>32</v>
      </c>
      <c r="AF63">
        <v>6</v>
      </c>
      <c r="AG63">
        <v>23</v>
      </c>
      <c r="AH63">
        <v>12</v>
      </c>
      <c r="AI63">
        <v>21</v>
      </c>
      <c r="AJ63">
        <v>31</v>
      </c>
      <c r="AK63">
        <v>26</v>
      </c>
    </row>
    <row r="64" spans="5:38" x14ac:dyDescent="0.5">
      <c r="G64">
        <v>3</v>
      </c>
    </row>
    <row r="65" spans="5:38" x14ac:dyDescent="0.5">
      <c r="E65">
        <v>2</v>
      </c>
      <c r="F65" t="s">
        <v>13</v>
      </c>
      <c r="G65">
        <v>1</v>
      </c>
      <c r="H65">
        <v>9</v>
      </c>
      <c r="I65">
        <v>11</v>
      </c>
      <c r="J65">
        <v>25</v>
      </c>
      <c r="K65">
        <v>7</v>
      </c>
      <c r="L65">
        <v>19</v>
      </c>
      <c r="M65">
        <v>27</v>
      </c>
      <c r="N65">
        <v>14</v>
      </c>
      <c r="O65">
        <v>5</v>
      </c>
      <c r="P65">
        <v>10</v>
      </c>
      <c r="Q65">
        <v>30</v>
      </c>
      <c r="R65">
        <v>15</v>
      </c>
      <c r="S65">
        <v>16</v>
      </c>
      <c r="T65">
        <v>29</v>
      </c>
      <c r="U65">
        <v>8</v>
      </c>
      <c r="V65">
        <v>24</v>
      </c>
      <c r="W65">
        <v>4</v>
      </c>
      <c r="X65">
        <v>17</v>
      </c>
      <c r="Y65">
        <v>28</v>
      </c>
      <c r="Z65">
        <v>20</v>
      </c>
      <c r="AA65">
        <v>22</v>
      </c>
      <c r="AB65">
        <v>13</v>
      </c>
      <c r="AC65">
        <v>18</v>
      </c>
      <c r="AD65">
        <v>32</v>
      </c>
      <c r="AE65">
        <v>6</v>
      </c>
      <c r="AF65">
        <v>23</v>
      </c>
      <c r="AG65">
        <v>12</v>
      </c>
      <c r="AH65">
        <v>21</v>
      </c>
      <c r="AI65">
        <v>31</v>
      </c>
      <c r="AJ65">
        <v>26</v>
      </c>
    </row>
    <row r="66" spans="5:38" x14ac:dyDescent="0.5">
      <c r="G66">
        <v>2</v>
      </c>
      <c r="H66">
        <v>3</v>
      </c>
    </row>
    <row r="67" spans="5:38" x14ac:dyDescent="0.5">
      <c r="E67">
        <v>3</v>
      </c>
      <c r="F67" t="s">
        <v>17</v>
      </c>
      <c r="G67">
        <v>1</v>
      </c>
      <c r="H67">
        <v>9</v>
      </c>
      <c r="I67">
        <v>11</v>
      </c>
      <c r="J67">
        <v>25</v>
      </c>
      <c r="K67">
        <v>7</v>
      </c>
      <c r="L67">
        <v>19</v>
      </c>
      <c r="M67">
        <v>27</v>
      </c>
      <c r="N67">
        <v>14</v>
      </c>
      <c r="O67">
        <v>5</v>
      </c>
      <c r="P67">
        <v>10</v>
      </c>
      <c r="Q67">
        <v>30</v>
      </c>
      <c r="R67">
        <v>15</v>
      </c>
      <c r="S67">
        <v>16</v>
      </c>
      <c r="T67">
        <v>29</v>
      </c>
      <c r="U67">
        <v>8</v>
      </c>
      <c r="V67">
        <v>24</v>
      </c>
      <c r="W67">
        <v>4</v>
      </c>
      <c r="X67">
        <v>17</v>
      </c>
      <c r="Y67">
        <v>28</v>
      </c>
      <c r="Z67">
        <v>20</v>
      </c>
      <c r="AA67">
        <v>22</v>
      </c>
      <c r="AB67">
        <v>13</v>
      </c>
      <c r="AC67">
        <v>18</v>
      </c>
      <c r="AD67">
        <v>32</v>
      </c>
      <c r="AE67">
        <v>6</v>
      </c>
      <c r="AF67">
        <v>23</v>
      </c>
      <c r="AG67">
        <v>12</v>
      </c>
      <c r="AH67">
        <v>21</v>
      </c>
      <c r="AI67">
        <v>31</v>
      </c>
      <c r="AJ67">
        <v>26</v>
      </c>
    </row>
    <row r="68" spans="5:38" x14ac:dyDescent="0.5">
      <c r="G68">
        <v>3</v>
      </c>
      <c r="H68">
        <v>2</v>
      </c>
    </row>
    <row r="69" spans="5:38" x14ac:dyDescent="0.5">
      <c r="E69">
        <v>4</v>
      </c>
      <c r="F69" t="s">
        <v>13</v>
      </c>
      <c r="G69">
        <v>9</v>
      </c>
      <c r="H69">
        <v>11</v>
      </c>
      <c r="I69">
        <v>25</v>
      </c>
      <c r="J69">
        <v>7</v>
      </c>
      <c r="K69">
        <v>19</v>
      </c>
      <c r="L69">
        <v>27</v>
      </c>
      <c r="M69">
        <v>14</v>
      </c>
      <c r="N69">
        <v>5</v>
      </c>
      <c r="O69">
        <v>10</v>
      </c>
      <c r="P69">
        <v>30</v>
      </c>
      <c r="Q69">
        <v>15</v>
      </c>
      <c r="R69">
        <v>16</v>
      </c>
      <c r="S69">
        <v>29</v>
      </c>
      <c r="T69">
        <v>8</v>
      </c>
      <c r="U69">
        <v>24</v>
      </c>
      <c r="V69">
        <v>4</v>
      </c>
      <c r="W69">
        <v>17</v>
      </c>
      <c r="X69">
        <v>28</v>
      </c>
      <c r="Y69">
        <v>20</v>
      </c>
      <c r="Z69">
        <v>22</v>
      </c>
      <c r="AA69">
        <v>13</v>
      </c>
      <c r="AB69">
        <v>18</v>
      </c>
      <c r="AC69">
        <v>32</v>
      </c>
      <c r="AD69">
        <v>6</v>
      </c>
      <c r="AE69">
        <v>23</v>
      </c>
      <c r="AF69">
        <v>12</v>
      </c>
      <c r="AG69">
        <v>21</v>
      </c>
      <c r="AH69">
        <v>31</v>
      </c>
      <c r="AI69">
        <v>26</v>
      </c>
    </row>
    <row r="70" spans="5:38" x14ac:dyDescent="0.5">
      <c r="G70">
        <v>1</v>
      </c>
      <c r="H70">
        <v>3</v>
      </c>
      <c r="I70">
        <v>2</v>
      </c>
    </row>
    <row r="72" spans="5:38" ht="16.149999999999999" thickBot="1" x14ac:dyDescent="0.55000000000000004"/>
    <row r="73" spans="5:38" x14ac:dyDescent="0.5">
      <c r="E73" s="100">
        <v>0</v>
      </c>
      <c r="F73" s="102" t="s">
        <v>11</v>
      </c>
      <c r="G73" s="4">
        <v>1</v>
      </c>
      <c r="H73" s="4">
        <v>2</v>
      </c>
      <c r="I73" s="4">
        <v>3</v>
      </c>
      <c r="J73" s="4">
        <v>4</v>
      </c>
      <c r="K73" s="4">
        <v>11</v>
      </c>
      <c r="L73" s="4">
        <v>25</v>
      </c>
      <c r="M73" s="4">
        <v>7</v>
      </c>
      <c r="N73" s="4">
        <v>19</v>
      </c>
      <c r="O73" s="4">
        <v>27</v>
      </c>
      <c r="P73" s="4">
        <v>14</v>
      </c>
      <c r="Q73" s="4">
        <v>5</v>
      </c>
      <c r="R73" s="4">
        <v>10</v>
      </c>
      <c r="S73" s="4">
        <v>30</v>
      </c>
      <c r="T73" s="4">
        <v>15</v>
      </c>
      <c r="U73" s="4">
        <v>16</v>
      </c>
      <c r="V73" s="4">
        <v>29</v>
      </c>
      <c r="W73" s="4">
        <v>8</v>
      </c>
      <c r="X73" s="4">
        <v>24</v>
      </c>
      <c r="Y73" s="4">
        <v>9</v>
      </c>
      <c r="Z73" s="4">
        <v>17</v>
      </c>
      <c r="AA73" s="4">
        <v>28</v>
      </c>
      <c r="AB73" s="4">
        <v>20</v>
      </c>
      <c r="AC73" s="4">
        <v>22</v>
      </c>
      <c r="AD73" s="4">
        <v>13</v>
      </c>
      <c r="AE73" s="4">
        <v>18</v>
      </c>
      <c r="AF73" s="4">
        <v>32</v>
      </c>
      <c r="AG73" s="4">
        <v>6</v>
      </c>
      <c r="AH73" s="4">
        <v>23</v>
      </c>
      <c r="AI73" s="4">
        <v>12</v>
      </c>
      <c r="AJ73" s="4">
        <v>21</v>
      </c>
      <c r="AK73" s="4">
        <v>31</v>
      </c>
      <c r="AL73" s="4">
        <v>26</v>
      </c>
    </row>
    <row r="74" spans="5:38" ht="16.149999999999999" thickBot="1" x14ac:dyDescent="0.55000000000000004">
      <c r="E74" s="101"/>
      <c r="F74" s="103"/>
      <c r="G74" s="4"/>
      <c r="H74" s="4"/>
      <c r="I74" s="4"/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</row>
    <row r="75" spans="5:38" x14ac:dyDescent="0.5">
      <c r="E75" s="100">
        <v>1</v>
      </c>
      <c r="F75" s="98" t="s">
        <v>13</v>
      </c>
      <c r="G75" s="4">
        <v>2</v>
      </c>
      <c r="H75" s="4">
        <v>3</v>
      </c>
      <c r="I75" s="4">
        <v>4</v>
      </c>
      <c r="J75" s="4">
        <v>11</v>
      </c>
      <c r="K75" s="4">
        <v>25</v>
      </c>
      <c r="L75" s="4">
        <v>7</v>
      </c>
      <c r="M75" s="4">
        <v>19</v>
      </c>
      <c r="N75" s="4">
        <v>27</v>
      </c>
      <c r="O75" s="4">
        <v>14</v>
      </c>
      <c r="P75" s="4">
        <v>5</v>
      </c>
      <c r="Q75" s="4">
        <v>10</v>
      </c>
      <c r="R75" s="4">
        <v>30</v>
      </c>
      <c r="S75" s="4">
        <v>15</v>
      </c>
      <c r="T75" s="4">
        <v>16</v>
      </c>
      <c r="U75" s="4">
        <v>29</v>
      </c>
      <c r="V75" s="4">
        <v>8</v>
      </c>
      <c r="W75" s="4">
        <v>24</v>
      </c>
      <c r="X75" s="4">
        <v>9</v>
      </c>
      <c r="Y75" s="4">
        <v>17</v>
      </c>
      <c r="Z75" s="4">
        <v>28</v>
      </c>
      <c r="AA75" s="4">
        <v>20</v>
      </c>
      <c r="AB75" s="4">
        <v>22</v>
      </c>
      <c r="AC75" s="4">
        <v>13</v>
      </c>
      <c r="AD75" s="4">
        <v>18</v>
      </c>
      <c r="AE75" s="4">
        <v>32</v>
      </c>
      <c r="AF75" s="4">
        <v>6</v>
      </c>
      <c r="AG75" s="4">
        <v>23</v>
      </c>
      <c r="AH75" s="4">
        <v>12</v>
      </c>
      <c r="AI75" s="4">
        <v>21</v>
      </c>
      <c r="AJ75" s="4">
        <v>31</v>
      </c>
      <c r="AK75" s="4">
        <v>26</v>
      </c>
      <c r="AL75" s="4">
        <v>0</v>
      </c>
    </row>
    <row r="76" spans="5:38" ht="16.149999999999999" thickBot="1" x14ac:dyDescent="0.55000000000000004">
      <c r="E76" s="101"/>
      <c r="F76" s="99"/>
      <c r="G76" s="4">
        <v>1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4">
        <v>0</v>
      </c>
    </row>
    <row r="77" spans="5:38" x14ac:dyDescent="0.5">
      <c r="E77" s="100">
        <v>2</v>
      </c>
      <c r="F77" s="98" t="s">
        <v>13</v>
      </c>
      <c r="G77" s="4">
        <v>3</v>
      </c>
      <c r="H77" s="4">
        <v>4</v>
      </c>
      <c r="I77" s="4">
        <v>11</v>
      </c>
      <c r="J77" s="4">
        <v>25</v>
      </c>
      <c r="K77" s="4">
        <v>7</v>
      </c>
      <c r="L77" s="4">
        <v>19</v>
      </c>
      <c r="M77" s="4">
        <v>27</v>
      </c>
      <c r="N77" s="4">
        <v>14</v>
      </c>
      <c r="O77" s="4">
        <v>5</v>
      </c>
      <c r="P77" s="4">
        <v>10</v>
      </c>
      <c r="Q77" s="4">
        <v>30</v>
      </c>
      <c r="R77" s="4">
        <v>15</v>
      </c>
      <c r="S77" s="4">
        <v>16</v>
      </c>
      <c r="T77" s="4">
        <v>29</v>
      </c>
      <c r="U77" s="4">
        <v>8</v>
      </c>
      <c r="V77" s="4">
        <v>24</v>
      </c>
      <c r="W77" s="4">
        <v>9</v>
      </c>
      <c r="X77" s="4">
        <v>17</v>
      </c>
      <c r="Y77" s="4">
        <v>28</v>
      </c>
      <c r="Z77" s="4">
        <v>20</v>
      </c>
      <c r="AA77" s="4">
        <v>22</v>
      </c>
      <c r="AB77" s="4">
        <v>13</v>
      </c>
      <c r="AC77" s="4">
        <v>18</v>
      </c>
      <c r="AD77" s="4">
        <v>32</v>
      </c>
      <c r="AE77" s="4">
        <v>6</v>
      </c>
      <c r="AF77" s="4">
        <v>23</v>
      </c>
      <c r="AG77" s="4">
        <v>12</v>
      </c>
      <c r="AH77" s="4">
        <v>21</v>
      </c>
      <c r="AI77" s="4">
        <v>31</v>
      </c>
      <c r="AJ77" s="4">
        <v>26</v>
      </c>
      <c r="AK77" s="4">
        <v>0</v>
      </c>
      <c r="AL77" s="4">
        <v>0</v>
      </c>
    </row>
    <row r="78" spans="5:38" ht="16.149999999999999" thickBot="1" x14ac:dyDescent="0.55000000000000004">
      <c r="E78" s="101"/>
      <c r="F78" s="99"/>
      <c r="G78" s="4">
        <v>2</v>
      </c>
      <c r="H78" s="4">
        <v>1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</row>
    <row r="79" spans="5:38" x14ac:dyDescent="0.5">
      <c r="E79" s="100">
        <v>3</v>
      </c>
      <c r="F79" s="98" t="s">
        <v>13</v>
      </c>
      <c r="G79" s="4">
        <v>4</v>
      </c>
      <c r="H79" s="4">
        <v>11</v>
      </c>
      <c r="I79" s="4">
        <v>25</v>
      </c>
      <c r="J79" s="4">
        <v>7</v>
      </c>
      <c r="K79" s="4">
        <v>19</v>
      </c>
      <c r="L79" s="4">
        <v>27</v>
      </c>
      <c r="M79" s="4">
        <v>14</v>
      </c>
      <c r="N79" s="4">
        <v>5</v>
      </c>
      <c r="O79" s="4">
        <v>10</v>
      </c>
      <c r="P79" s="4">
        <v>30</v>
      </c>
      <c r="Q79" s="4">
        <v>15</v>
      </c>
      <c r="R79" s="4">
        <v>16</v>
      </c>
      <c r="S79" s="4">
        <v>29</v>
      </c>
      <c r="T79" s="4">
        <v>8</v>
      </c>
      <c r="U79" s="4">
        <v>24</v>
      </c>
      <c r="V79" s="4">
        <v>9</v>
      </c>
      <c r="W79" s="4">
        <v>17</v>
      </c>
      <c r="X79" s="4">
        <v>28</v>
      </c>
      <c r="Y79" s="4">
        <v>20</v>
      </c>
      <c r="Z79" s="4">
        <v>22</v>
      </c>
      <c r="AA79" s="4">
        <v>13</v>
      </c>
      <c r="AB79" s="4">
        <v>18</v>
      </c>
      <c r="AC79" s="4">
        <v>32</v>
      </c>
      <c r="AD79" s="4">
        <v>6</v>
      </c>
      <c r="AE79" s="4">
        <v>23</v>
      </c>
      <c r="AF79" s="4">
        <v>12</v>
      </c>
      <c r="AG79" s="4">
        <v>21</v>
      </c>
      <c r="AH79" s="4">
        <v>31</v>
      </c>
      <c r="AI79" s="4">
        <v>26</v>
      </c>
      <c r="AJ79" s="4">
        <v>0</v>
      </c>
      <c r="AK79" s="4">
        <v>0</v>
      </c>
      <c r="AL79" s="4">
        <v>0</v>
      </c>
    </row>
    <row r="80" spans="5:38" ht="16.149999999999999" thickBot="1" x14ac:dyDescent="0.55000000000000004">
      <c r="E80" s="101"/>
      <c r="F80" s="99"/>
      <c r="G80" s="4">
        <v>3</v>
      </c>
      <c r="H80" s="4">
        <v>2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</row>
    <row r="81" spans="5:38" x14ac:dyDescent="0.5">
      <c r="E81" s="100">
        <v>4</v>
      </c>
      <c r="F81" s="98" t="s">
        <v>13</v>
      </c>
      <c r="G81" s="4">
        <v>11</v>
      </c>
      <c r="H81" s="4">
        <v>25</v>
      </c>
      <c r="I81" s="4">
        <v>7</v>
      </c>
      <c r="J81" s="4">
        <v>19</v>
      </c>
      <c r="K81" s="4">
        <v>27</v>
      </c>
      <c r="L81" s="4">
        <v>14</v>
      </c>
      <c r="M81" s="4">
        <v>5</v>
      </c>
      <c r="N81" s="4">
        <v>10</v>
      </c>
      <c r="O81" s="4">
        <v>30</v>
      </c>
      <c r="P81" s="4">
        <v>15</v>
      </c>
      <c r="Q81" s="4">
        <v>16</v>
      </c>
      <c r="R81" s="4">
        <v>29</v>
      </c>
      <c r="S81" s="4">
        <v>8</v>
      </c>
      <c r="T81" s="4">
        <v>24</v>
      </c>
      <c r="U81" s="4">
        <v>9</v>
      </c>
      <c r="V81" s="4">
        <v>17</v>
      </c>
      <c r="W81" s="4">
        <v>28</v>
      </c>
      <c r="X81" s="4">
        <v>20</v>
      </c>
      <c r="Y81" s="4">
        <v>22</v>
      </c>
      <c r="Z81" s="4">
        <v>13</v>
      </c>
      <c r="AA81" s="4">
        <v>18</v>
      </c>
      <c r="AB81" s="4">
        <v>32</v>
      </c>
      <c r="AC81" s="4">
        <v>6</v>
      </c>
      <c r="AD81" s="4">
        <v>23</v>
      </c>
      <c r="AE81" s="4">
        <v>12</v>
      </c>
      <c r="AF81" s="4">
        <v>21</v>
      </c>
      <c r="AG81" s="4">
        <v>31</v>
      </c>
      <c r="AH81" s="4">
        <v>26</v>
      </c>
      <c r="AI81" s="4">
        <v>0</v>
      </c>
      <c r="AJ81" s="4">
        <v>0</v>
      </c>
      <c r="AK81" s="4">
        <v>0</v>
      </c>
      <c r="AL81" s="4">
        <v>0</v>
      </c>
    </row>
    <row r="82" spans="5:38" ht="16.149999999999999" thickBot="1" x14ac:dyDescent="0.55000000000000004">
      <c r="E82" s="101"/>
      <c r="F82" s="99"/>
      <c r="G82" s="4">
        <v>4</v>
      </c>
      <c r="H82" s="4">
        <v>3</v>
      </c>
      <c r="I82" s="4">
        <v>2</v>
      </c>
      <c r="J82" s="4">
        <v>1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</row>
    <row r="84" spans="5:38" ht="16.149999999999999" thickBot="1" x14ac:dyDescent="0.55000000000000004"/>
    <row r="85" spans="5:38" x14ac:dyDescent="0.5">
      <c r="E85" s="100">
        <v>0</v>
      </c>
      <c r="F85" s="102" t="s">
        <v>11</v>
      </c>
      <c r="G85" s="4">
        <v>1</v>
      </c>
      <c r="H85" s="4">
        <v>2</v>
      </c>
      <c r="I85" s="4">
        <v>4</v>
      </c>
      <c r="J85" s="4">
        <v>3</v>
      </c>
      <c r="K85" s="4">
        <v>11</v>
      </c>
      <c r="L85" s="4">
        <v>25</v>
      </c>
      <c r="M85" s="4">
        <v>7</v>
      </c>
      <c r="N85" s="4">
        <v>19</v>
      </c>
      <c r="O85" s="4">
        <v>27</v>
      </c>
      <c r="P85" s="4">
        <v>14</v>
      </c>
      <c r="Q85" s="4">
        <v>5</v>
      </c>
      <c r="R85" s="4">
        <v>10</v>
      </c>
      <c r="S85" s="4">
        <v>30</v>
      </c>
      <c r="T85" s="4">
        <v>15</v>
      </c>
      <c r="U85" s="4">
        <v>16</v>
      </c>
      <c r="V85" s="4">
        <v>29</v>
      </c>
      <c r="W85" s="4">
        <v>8</v>
      </c>
      <c r="X85" s="4">
        <v>24</v>
      </c>
      <c r="Y85" s="4">
        <v>9</v>
      </c>
      <c r="Z85" s="4">
        <v>17</v>
      </c>
      <c r="AA85" s="4">
        <v>28</v>
      </c>
      <c r="AB85" s="4">
        <v>20</v>
      </c>
      <c r="AC85" s="4">
        <v>22</v>
      </c>
      <c r="AD85" s="4">
        <v>13</v>
      </c>
      <c r="AE85" s="4">
        <v>18</v>
      </c>
      <c r="AF85" s="4">
        <v>32</v>
      </c>
      <c r="AG85" s="4">
        <v>6</v>
      </c>
      <c r="AH85" s="4">
        <v>23</v>
      </c>
      <c r="AI85" s="4">
        <v>12</v>
      </c>
      <c r="AJ85" s="4">
        <v>21</v>
      </c>
      <c r="AK85" s="4">
        <v>31</v>
      </c>
      <c r="AL85" s="4">
        <v>26</v>
      </c>
    </row>
    <row r="86" spans="5:38" ht="16.149999999999999" thickBot="1" x14ac:dyDescent="0.55000000000000004">
      <c r="E86" s="101"/>
      <c r="F86" s="103"/>
      <c r="G86" s="4"/>
      <c r="H86" s="4"/>
      <c r="I86" s="4"/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</row>
    <row r="87" spans="5:38" x14ac:dyDescent="0.5">
      <c r="E87" s="100">
        <v>1</v>
      </c>
      <c r="F87" s="98" t="s">
        <v>13</v>
      </c>
      <c r="G87" s="4">
        <v>2</v>
      </c>
      <c r="H87" s="4">
        <v>4</v>
      </c>
      <c r="I87" s="4">
        <v>3</v>
      </c>
      <c r="J87" s="4">
        <v>11</v>
      </c>
      <c r="K87" s="4">
        <v>25</v>
      </c>
      <c r="L87" s="4">
        <v>7</v>
      </c>
      <c r="M87" s="4">
        <v>19</v>
      </c>
      <c r="N87" s="4">
        <v>27</v>
      </c>
      <c r="O87" s="4">
        <v>14</v>
      </c>
      <c r="P87" s="4">
        <v>5</v>
      </c>
      <c r="Q87" s="4">
        <v>10</v>
      </c>
      <c r="R87" s="4">
        <v>30</v>
      </c>
      <c r="S87" s="4">
        <v>15</v>
      </c>
      <c r="T87" s="4">
        <v>16</v>
      </c>
      <c r="U87" s="4">
        <v>29</v>
      </c>
      <c r="V87" s="4">
        <v>8</v>
      </c>
      <c r="W87" s="4">
        <v>24</v>
      </c>
      <c r="X87" s="4">
        <v>9</v>
      </c>
      <c r="Y87" s="4">
        <v>17</v>
      </c>
      <c r="Z87" s="4">
        <v>28</v>
      </c>
      <c r="AA87" s="4">
        <v>20</v>
      </c>
      <c r="AB87" s="4">
        <v>22</v>
      </c>
      <c r="AC87" s="4">
        <v>13</v>
      </c>
      <c r="AD87" s="4">
        <v>18</v>
      </c>
      <c r="AE87" s="4">
        <v>32</v>
      </c>
      <c r="AF87" s="4">
        <v>6</v>
      </c>
      <c r="AG87" s="4">
        <v>23</v>
      </c>
      <c r="AH87" s="4">
        <v>12</v>
      </c>
      <c r="AI87" s="4">
        <v>21</v>
      </c>
      <c r="AJ87" s="4">
        <v>31</v>
      </c>
      <c r="AK87" s="4">
        <v>26</v>
      </c>
      <c r="AL87" s="4">
        <v>0</v>
      </c>
    </row>
    <row r="88" spans="5:38" ht="16.149999999999999" thickBot="1" x14ac:dyDescent="0.55000000000000004">
      <c r="E88" s="101"/>
      <c r="F88" s="99"/>
      <c r="G88" s="4">
        <v>1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</row>
    <row r="89" spans="5:38" x14ac:dyDescent="0.5">
      <c r="E89" s="100">
        <v>2</v>
      </c>
      <c r="F89" s="98" t="s">
        <v>13</v>
      </c>
      <c r="G89" s="4">
        <v>4</v>
      </c>
      <c r="H89" s="4">
        <v>3</v>
      </c>
      <c r="I89" s="4">
        <v>11</v>
      </c>
      <c r="J89" s="4">
        <v>25</v>
      </c>
      <c r="K89" s="4">
        <v>7</v>
      </c>
      <c r="L89" s="4">
        <v>19</v>
      </c>
      <c r="M89" s="4">
        <v>27</v>
      </c>
      <c r="N89" s="4">
        <v>14</v>
      </c>
      <c r="O89" s="4">
        <v>5</v>
      </c>
      <c r="P89" s="4">
        <v>10</v>
      </c>
      <c r="Q89" s="4">
        <v>30</v>
      </c>
      <c r="R89" s="4">
        <v>15</v>
      </c>
      <c r="S89" s="4">
        <v>16</v>
      </c>
      <c r="T89" s="4">
        <v>29</v>
      </c>
      <c r="U89" s="4">
        <v>8</v>
      </c>
      <c r="V89" s="4">
        <v>24</v>
      </c>
      <c r="W89" s="4">
        <v>9</v>
      </c>
      <c r="X89" s="4">
        <v>17</v>
      </c>
      <c r="Y89" s="4">
        <v>28</v>
      </c>
      <c r="Z89" s="4">
        <v>20</v>
      </c>
      <c r="AA89" s="4">
        <v>22</v>
      </c>
      <c r="AB89" s="4">
        <v>13</v>
      </c>
      <c r="AC89" s="4">
        <v>18</v>
      </c>
      <c r="AD89" s="4">
        <v>32</v>
      </c>
      <c r="AE89" s="4">
        <v>6</v>
      </c>
      <c r="AF89" s="4">
        <v>23</v>
      </c>
      <c r="AG89" s="4">
        <v>12</v>
      </c>
      <c r="AH89" s="4">
        <v>21</v>
      </c>
      <c r="AI89" s="4">
        <v>31</v>
      </c>
      <c r="AJ89" s="4">
        <v>26</v>
      </c>
      <c r="AK89" s="4">
        <v>0</v>
      </c>
      <c r="AL89" s="4">
        <v>0</v>
      </c>
    </row>
    <row r="90" spans="5:38" ht="16.149999999999999" thickBot="1" x14ac:dyDescent="0.55000000000000004">
      <c r="E90" s="101"/>
      <c r="F90" s="99"/>
      <c r="G90" s="4">
        <v>2</v>
      </c>
      <c r="H90" s="4">
        <v>1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</row>
    <row r="91" spans="5:38" x14ac:dyDescent="0.5">
      <c r="E91" s="100">
        <v>3</v>
      </c>
      <c r="F91" s="98" t="s">
        <v>18</v>
      </c>
      <c r="G91" s="4">
        <v>3</v>
      </c>
      <c r="H91" s="4">
        <v>4</v>
      </c>
      <c r="I91" s="4">
        <v>11</v>
      </c>
      <c r="J91" s="4">
        <v>25</v>
      </c>
      <c r="K91" s="4">
        <v>7</v>
      </c>
      <c r="L91" s="4">
        <v>19</v>
      </c>
      <c r="M91" s="4">
        <v>27</v>
      </c>
      <c r="N91" s="4">
        <v>14</v>
      </c>
      <c r="O91" s="4">
        <v>5</v>
      </c>
      <c r="P91" s="4">
        <v>10</v>
      </c>
      <c r="Q91" s="4">
        <v>30</v>
      </c>
      <c r="R91" s="4">
        <v>15</v>
      </c>
      <c r="S91" s="4">
        <v>16</v>
      </c>
      <c r="T91" s="4">
        <v>29</v>
      </c>
      <c r="U91" s="4">
        <v>8</v>
      </c>
      <c r="V91" s="4">
        <v>24</v>
      </c>
      <c r="W91" s="4">
        <v>9</v>
      </c>
      <c r="X91" s="4">
        <v>17</v>
      </c>
      <c r="Y91" s="4">
        <v>28</v>
      </c>
      <c r="Z91" s="4">
        <v>20</v>
      </c>
      <c r="AA91" s="4">
        <v>22</v>
      </c>
      <c r="AB91" s="4">
        <v>13</v>
      </c>
      <c r="AC91" s="4">
        <v>18</v>
      </c>
      <c r="AD91" s="4">
        <v>32</v>
      </c>
      <c r="AE91" s="4">
        <v>6</v>
      </c>
      <c r="AF91" s="4">
        <v>23</v>
      </c>
      <c r="AG91" s="4">
        <v>12</v>
      </c>
      <c r="AH91" s="4">
        <v>21</v>
      </c>
      <c r="AI91" s="4">
        <v>31</v>
      </c>
      <c r="AJ91" s="4">
        <v>26</v>
      </c>
      <c r="AK91" s="4">
        <v>0</v>
      </c>
      <c r="AL91" s="4">
        <v>0</v>
      </c>
    </row>
    <row r="92" spans="5:38" ht="16.149999999999999" thickBot="1" x14ac:dyDescent="0.55000000000000004">
      <c r="E92" s="101"/>
      <c r="F92" s="99"/>
      <c r="G92" s="4">
        <v>2</v>
      </c>
      <c r="H92" s="4">
        <v>1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</row>
    <row r="93" spans="5:38" x14ac:dyDescent="0.5">
      <c r="E93" s="100">
        <v>4</v>
      </c>
      <c r="F93" s="98" t="s">
        <v>13</v>
      </c>
      <c r="G93" s="4">
        <v>4</v>
      </c>
      <c r="H93" s="4">
        <v>11</v>
      </c>
      <c r="I93" s="4">
        <v>25</v>
      </c>
      <c r="J93" s="4">
        <v>7</v>
      </c>
      <c r="K93" s="4">
        <v>19</v>
      </c>
      <c r="L93" s="4">
        <v>27</v>
      </c>
      <c r="M93" s="4">
        <v>14</v>
      </c>
      <c r="N93" s="4">
        <v>5</v>
      </c>
      <c r="O93" s="4">
        <v>10</v>
      </c>
      <c r="P93" s="4">
        <v>30</v>
      </c>
      <c r="Q93" s="4">
        <v>15</v>
      </c>
      <c r="R93" s="4">
        <v>16</v>
      </c>
      <c r="S93" s="4">
        <v>29</v>
      </c>
      <c r="T93" s="4">
        <v>8</v>
      </c>
      <c r="U93" s="4">
        <v>24</v>
      </c>
      <c r="V93" s="4">
        <v>9</v>
      </c>
      <c r="W93" s="4">
        <v>17</v>
      </c>
      <c r="X93" s="4">
        <v>28</v>
      </c>
      <c r="Y93" s="4">
        <v>20</v>
      </c>
      <c r="Z93" s="4">
        <v>22</v>
      </c>
      <c r="AA93" s="4">
        <v>13</v>
      </c>
      <c r="AB93" s="4">
        <v>18</v>
      </c>
      <c r="AC93" s="4">
        <v>32</v>
      </c>
      <c r="AD93" s="4">
        <v>6</v>
      </c>
      <c r="AE93" s="4">
        <v>23</v>
      </c>
      <c r="AF93" s="4">
        <v>12</v>
      </c>
      <c r="AG93" s="4">
        <v>21</v>
      </c>
      <c r="AH93" s="4">
        <v>31</v>
      </c>
      <c r="AI93" s="4">
        <v>26</v>
      </c>
      <c r="AJ93" s="4">
        <v>0</v>
      </c>
      <c r="AK93" s="4">
        <v>0</v>
      </c>
      <c r="AL93" s="4">
        <v>0</v>
      </c>
    </row>
    <row r="94" spans="5:38" ht="16.149999999999999" thickBot="1" x14ac:dyDescent="0.55000000000000004">
      <c r="E94" s="101"/>
      <c r="F94" s="99"/>
      <c r="G94" s="4">
        <v>3</v>
      </c>
      <c r="H94" s="4">
        <v>2</v>
      </c>
      <c r="I94" s="4">
        <v>1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0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</row>
    <row r="95" spans="5:38" x14ac:dyDescent="0.5">
      <c r="E95" s="100">
        <v>5</v>
      </c>
      <c r="F95" s="98" t="s">
        <v>13</v>
      </c>
      <c r="G95" s="4">
        <v>11</v>
      </c>
      <c r="H95" s="4">
        <v>25</v>
      </c>
      <c r="I95" s="4">
        <v>7</v>
      </c>
      <c r="J95" s="4">
        <v>19</v>
      </c>
      <c r="K95" s="4">
        <v>27</v>
      </c>
      <c r="L95" s="4">
        <v>14</v>
      </c>
      <c r="M95" s="4">
        <v>5</v>
      </c>
      <c r="N95" s="4">
        <v>10</v>
      </c>
      <c r="O95" s="4">
        <v>30</v>
      </c>
      <c r="P95" s="4">
        <v>15</v>
      </c>
      <c r="Q95" s="4">
        <v>16</v>
      </c>
      <c r="R95" s="4">
        <v>29</v>
      </c>
      <c r="S95" s="4">
        <v>8</v>
      </c>
      <c r="T95" s="4">
        <v>24</v>
      </c>
      <c r="U95" s="4">
        <v>9</v>
      </c>
      <c r="V95" s="4">
        <v>17</v>
      </c>
      <c r="W95" s="4">
        <v>28</v>
      </c>
      <c r="X95" s="4">
        <v>20</v>
      </c>
      <c r="Y95" s="4">
        <v>22</v>
      </c>
      <c r="Z95" s="4">
        <v>13</v>
      </c>
      <c r="AA95" s="4">
        <v>18</v>
      </c>
      <c r="AB95" s="4">
        <v>32</v>
      </c>
      <c r="AC95" s="4">
        <v>6</v>
      </c>
      <c r="AD95" s="4">
        <v>23</v>
      </c>
      <c r="AE95" s="4">
        <v>12</v>
      </c>
      <c r="AF95" s="4">
        <v>21</v>
      </c>
      <c r="AG95" s="4">
        <v>31</v>
      </c>
      <c r="AH95" s="4">
        <v>26</v>
      </c>
      <c r="AI95" s="4">
        <v>0</v>
      </c>
      <c r="AJ95" s="4">
        <v>0</v>
      </c>
      <c r="AK95" s="4">
        <v>0</v>
      </c>
      <c r="AL95" s="4">
        <v>0</v>
      </c>
    </row>
    <row r="96" spans="5:38" ht="16.149999999999999" thickBot="1" x14ac:dyDescent="0.55000000000000004">
      <c r="E96" s="101"/>
      <c r="F96" s="99"/>
      <c r="G96" s="4">
        <v>4</v>
      </c>
      <c r="H96" s="4">
        <v>3</v>
      </c>
      <c r="I96" s="4">
        <v>2</v>
      </c>
      <c r="J96" s="4">
        <v>1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0</v>
      </c>
      <c r="AB96" s="4">
        <v>0</v>
      </c>
      <c r="AC96" s="4">
        <v>0</v>
      </c>
      <c r="AD96" s="4">
        <v>0</v>
      </c>
      <c r="AE96" s="4">
        <v>0</v>
      </c>
      <c r="AF96" s="4">
        <v>0</v>
      </c>
      <c r="AG96" s="4">
        <v>0</v>
      </c>
      <c r="AH96" s="4">
        <v>0</v>
      </c>
      <c r="AI96" s="4">
        <v>0</v>
      </c>
      <c r="AJ96" s="4">
        <v>0</v>
      </c>
      <c r="AK96" s="4">
        <v>0</v>
      </c>
      <c r="AL96" s="4">
        <v>0</v>
      </c>
    </row>
    <row r="98" spans="5:38" ht="16.149999999999999" thickBot="1" x14ac:dyDescent="0.55000000000000004"/>
    <row r="99" spans="5:38" x14ac:dyDescent="0.5">
      <c r="E99" s="100">
        <v>0</v>
      </c>
      <c r="F99" s="102" t="s">
        <v>11</v>
      </c>
      <c r="G99" s="4">
        <v>1</v>
      </c>
      <c r="H99" s="4">
        <v>3</v>
      </c>
      <c r="I99" s="4">
        <v>2</v>
      </c>
      <c r="J99" s="4">
        <v>4</v>
      </c>
      <c r="K99" s="4">
        <v>11</v>
      </c>
      <c r="L99" s="4">
        <v>25</v>
      </c>
      <c r="M99" s="4">
        <v>7</v>
      </c>
      <c r="N99" s="4">
        <v>19</v>
      </c>
      <c r="O99" s="4">
        <v>27</v>
      </c>
      <c r="P99" s="4">
        <v>14</v>
      </c>
      <c r="Q99" s="4">
        <v>5</v>
      </c>
      <c r="R99" s="4">
        <v>10</v>
      </c>
      <c r="S99" s="4">
        <v>30</v>
      </c>
      <c r="T99" s="4">
        <v>15</v>
      </c>
      <c r="U99" s="4">
        <v>16</v>
      </c>
      <c r="V99" s="4">
        <v>29</v>
      </c>
      <c r="W99" s="4">
        <v>8</v>
      </c>
      <c r="X99" s="4">
        <v>24</v>
      </c>
      <c r="Y99" s="4">
        <v>9</v>
      </c>
      <c r="Z99" s="4">
        <v>17</v>
      </c>
      <c r="AA99" s="4">
        <v>28</v>
      </c>
      <c r="AB99" s="4">
        <v>20</v>
      </c>
      <c r="AC99" s="4">
        <v>22</v>
      </c>
      <c r="AD99" s="4">
        <v>13</v>
      </c>
      <c r="AE99" s="4">
        <v>18</v>
      </c>
      <c r="AF99" s="4">
        <v>32</v>
      </c>
      <c r="AG99" s="4">
        <v>6</v>
      </c>
      <c r="AH99" s="4">
        <v>23</v>
      </c>
      <c r="AI99" s="4">
        <v>12</v>
      </c>
      <c r="AJ99" s="4">
        <v>21</v>
      </c>
      <c r="AK99" s="4">
        <v>31</v>
      </c>
      <c r="AL99" s="4">
        <v>26</v>
      </c>
    </row>
    <row r="100" spans="5:38" ht="16.149999999999999" thickBot="1" x14ac:dyDescent="0.55000000000000004">
      <c r="E100" s="101"/>
      <c r="F100" s="103"/>
      <c r="G100" s="4"/>
      <c r="H100" s="4"/>
      <c r="I100" s="4"/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0</v>
      </c>
      <c r="AJ100" s="4">
        <v>0</v>
      </c>
      <c r="AK100" s="4">
        <v>0</v>
      </c>
      <c r="AL100" s="4">
        <v>0</v>
      </c>
    </row>
    <row r="101" spans="5:38" x14ac:dyDescent="0.5">
      <c r="E101" s="100">
        <v>1</v>
      </c>
      <c r="F101" s="98" t="s">
        <v>13</v>
      </c>
      <c r="G101" s="4">
        <v>3</v>
      </c>
      <c r="H101" s="4">
        <v>2</v>
      </c>
      <c r="I101" s="4">
        <v>4</v>
      </c>
      <c r="J101" s="4">
        <v>11</v>
      </c>
      <c r="K101" s="4">
        <v>25</v>
      </c>
      <c r="L101" s="4">
        <v>7</v>
      </c>
      <c r="M101" s="4">
        <v>19</v>
      </c>
      <c r="N101" s="4">
        <v>27</v>
      </c>
      <c r="O101" s="4">
        <v>14</v>
      </c>
      <c r="P101" s="4">
        <v>5</v>
      </c>
      <c r="Q101" s="4">
        <v>10</v>
      </c>
      <c r="R101" s="4">
        <v>30</v>
      </c>
      <c r="S101" s="4">
        <v>15</v>
      </c>
      <c r="T101" s="4">
        <v>16</v>
      </c>
      <c r="U101" s="4">
        <v>29</v>
      </c>
      <c r="V101" s="4">
        <v>8</v>
      </c>
      <c r="W101" s="4">
        <v>24</v>
      </c>
      <c r="X101" s="4">
        <v>9</v>
      </c>
      <c r="Y101" s="4">
        <v>17</v>
      </c>
      <c r="Z101" s="4">
        <v>28</v>
      </c>
      <c r="AA101" s="4">
        <v>20</v>
      </c>
      <c r="AB101" s="4">
        <v>22</v>
      </c>
      <c r="AC101" s="4">
        <v>13</v>
      </c>
      <c r="AD101" s="4">
        <v>18</v>
      </c>
      <c r="AE101" s="4">
        <v>32</v>
      </c>
      <c r="AF101" s="4">
        <v>6</v>
      </c>
      <c r="AG101" s="4">
        <v>23</v>
      </c>
      <c r="AH101" s="4">
        <v>12</v>
      </c>
      <c r="AI101" s="4">
        <v>21</v>
      </c>
      <c r="AJ101" s="4">
        <v>31</v>
      </c>
      <c r="AK101" s="4">
        <v>26</v>
      </c>
      <c r="AL101" s="4">
        <v>0</v>
      </c>
    </row>
    <row r="102" spans="5:38" ht="16.149999999999999" thickBot="1" x14ac:dyDescent="0.55000000000000004">
      <c r="E102" s="101"/>
      <c r="F102" s="99"/>
      <c r="G102" s="4">
        <v>1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  <c r="Z102" s="4">
        <v>0</v>
      </c>
      <c r="AA102" s="4">
        <v>0</v>
      </c>
      <c r="AB102" s="4">
        <v>0</v>
      </c>
      <c r="AC102" s="4">
        <v>0</v>
      </c>
      <c r="AD102" s="4">
        <v>0</v>
      </c>
      <c r="AE102" s="4">
        <v>0</v>
      </c>
      <c r="AF102" s="4">
        <v>0</v>
      </c>
      <c r="AG102" s="4">
        <v>0</v>
      </c>
      <c r="AH102" s="4">
        <v>0</v>
      </c>
      <c r="AI102" s="4">
        <v>0</v>
      </c>
      <c r="AJ102" s="4">
        <v>0</v>
      </c>
      <c r="AK102" s="4">
        <v>0</v>
      </c>
      <c r="AL102" s="4">
        <v>0</v>
      </c>
    </row>
    <row r="103" spans="5:38" x14ac:dyDescent="0.5">
      <c r="E103" s="100">
        <v>2</v>
      </c>
      <c r="F103" s="98" t="s">
        <v>18</v>
      </c>
      <c r="G103" s="4">
        <v>2</v>
      </c>
      <c r="H103" s="4">
        <v>3</v>
      </c>
      <c r="I103" s="4">
        <v>4</v>
      </c>
      <c r="J103" s="4">
        <v>11</v>
      </c>
      <c r="K103" s="4">
        <v>25</v>
      </c>
      <c r="L103" s="4">
        <v>7</v>
      </c>
      <c r="M103" s="4">
        <v>19</v>
      </c>
      <c r="N103" s="4">
        <v>27</v>
      </c>
      <c r="O103" s="4">
        <v>14</v>
      </c>
      <c r="P103" s="4">
        <v>5</v>
      </c>
      <c r="Q103" s="4">
        <v>10</v>
      </c>
      <c r="R103" s="4">
        <v>30</v>
      </c>
      <c r="S103" s="4">
        <v>15</v>
      </c>
      <c r="T103" s="4">
        <v>16</v>
      </c>
      <c r="U103" s="4">
        <v>29</v>
      </c>
      <c r="V103" s="4">
        <v>8</v>
      </c>
      <c r="W103" s="4">
        <v>24</v>
      </c>
      <c r="X103" s="4">
        <v>9</v>
      </c>
      <c r="Y103" s="4">
        <v>17</v>
      </c>
      <c r="Z103" s="4">
        <v>28</v>
      </c>
      <c r="AA103" s="4">
        <v>20</v>
      </c>
      <c r="AB103" s="4">
        <v>22</v>
      </c>
      <c r="AC103" s="4">
        <v>13</v>
      </c>
      <c r="AD103" s="4">
        <v>18</v>
      </c>
      <c r="AE103" s="4">
        <v>32</v>
      </c>
      <c r="AF103" s="4">
        <v>6</v>
      </c>
      <c r="AG103" s="4">
        <v>23</v>
      </c>
      <c r="AH103" s="4">
        <v>12</v>
      </c>
      <c r="AI103" s="4">
        <v>21</v>
      </c>
      <c r="AJ103" s="4">
        <v>31</v>
      </c>
      <c r="AK103" s="4">
        <v>26</v>
      </c>
      <c r="AL103" s="4">
        <v>0</v>
      </c>
    </row>
    <row r="104" spans="5:38" ht="16.149999999999999" thickBot="1" x14ac:dyDescent="0.55000000000000004">
      <c r="E104" s="101"/>
      <c r="F104" s="99"/>
      <c r="G104" s="4">
        <v>1</v>
      </c>
      <c r="H104" s="4">
        <v>0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  <c r="AA104" s="4">
        <v>0</v>
      </c>
      <c r="AB104" s="4">
        <v>0</v>
      </c>
      <c r="AC104" s="4">
        <v>0</v>
      </c>
      <c r="AD104" s="4">
        <v>0</v>
      </c>
      <c r="AE104" s="4">
        <v>0</v>
      </c>
      <c r="AF104" s="4">
        <v>0</v>
      </c>
      <c r="AG104" s="4">
        <v>0</v>
      </c>
      <c r="AH104" s="4">
        <v>0</v>
      </c>
      <c r="AI104" s="4">
        <v>0</v>
      </c>
      <c r="AJ104" s="4">
        <v>0</v>
      </c>
      <c r="AK104" s="4">
        <v>0</v>
      </c>
      <c r="AL104" s="4">
        <v>0</v>
      </c>
    </row>
    <row r="105" spans="5:38" x14ac:dyDescent="0.5">
      <c r="E105" s="100">
        <v>3</v>
      </c>
      <c r="F105" s="98" t="s">
        <v>13</v>
      </c>
      <c r="G105" s="4">
        <v>3</v>
      </c>
      <c r="H105" s="4">
        <v>4</v>
      </c>
      <c r="I105" s="4">
        <v>11</v>
      </c>
      <c r="J105" s="4">
        <v>25</v>
      </c>
      <c r="K105" s="4">
        <v>7</v>
      </c>
      <c r="L105" s="4">
        <v>19</v>
      </c>
      <c r="M105" s="4">
        <v>27</v>
      </c>
      <c r="N105" s="4">
        <v>14</v>
      </c>
      <c r="O105" s="4">
        <v>5</v>
      </c>
      <c r="P105" s="4">
        <v>10</v>
      </c>
      <c r="Q105" s="4">
        <v>30</v>
      </c>
      <c r="R105" s="4">
        <v>15</v>
      </c>
      <c r="S105" s="4">
        <v>16</v>
      </c>
      <c r="T105" s="4">
        <v>29</v>
      </c>
      <c r="U105" s="4">
        <v>8</v>
      </c>
      <c r="V105" s="4">
        <v>24</v>
      </c>
      <c r="W105" s="4">
        <v>9</v>
      </c>
      <c r="X105" s="4">
        <v>17</v>
      </c>
      <c r="Y105" s="4">
        <v>28</v>
      </c>
      <c r="Z105" s="4">
        <v>20</v>
      </c>
      <c r="AA105" s="4">
        <v>22</v>
      </c>
      <c r="AB105" s="4">
        <v>13</v>
      </c>
      <c r="AC105" s="4">
        <v>18</v>
      </c>
      <c r="AD105" s="4">
        <v>32</v>
      </c>
      <c r="AE105" s="4">
        <v>6</v>
      </c>
      <c r="AF105" s="4">
        <v>23</v>
      </c>
      <c r="AG105" s="4">
        <v>12</v>
      </c>
      <c r="AH105" s="4">
        <v>21</v>
      </c>
      <c r="AI105" s="4">
        <v>31</v>
      </c>
      <c r="AJ105" s="4">
        <v>26</v>
      </c>
      <c r="AK105" s="4">
        <v>0</v>
      </c>
      <c r="AL105" s="4">
        <v>0</v>
      </c>
    </row>
    <row r="106" spans="5:38" ht="16.149999999999999" thickBot="1" x14ac:dyDescent="0.55000000000000004">
      <c r="E106" s="101"/>
      <c r="F106" s="99"/>
      <c r="G106" s="4">
        <v>2</v>
      </c>
      <c r="H106" s="4">
        <v>1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4">
        <v>0</v>
      </c>
    </row>
    <row r="107" spans="5:38" x14ac:dyDescent="0.5">
      <c r="E107" s="100">
        <v>4</v>
      </c>
      <c r="F107" s="98" t="s">
        <v>13</v>
      </c>
      <c r="G107" s="4">
        <v>4</v>
      </c>
      <c r="H107" s="4">
        <v>11</v>
      </c>
      <c r="I107" s="4">
        <v>25</v>
      </c>
      <c r="J107" s="4">
        <v>7</v>
      </c>
      <c r="K107" s="4">
        <v>19</v>
      </c>
      <c r="L107" s="4">
        <v>27</v>
      </c>
      <c r="M107" s="4">
        <v>14</v>
      </c>
      <c r="N107" s="4">
        <v>5</v>
      </c>
      <c r="O107" s="4">
        <v>10</v>
      </c>
      <c r="P107" s="4">
        <v>30</v>
      </c>
      <c r="Q107" s="4">
        <v>15</v>
      </c>
      <c r="R107" s="4">
        <v>16</v>
      </c>
      <c r="S107" s="4">
        <v>29</v>
      </c>
      <c r="T107" s="4">
        <v>8</v>
      </c>
      <c r="U107" s="4">
        <v>24</v>
      </c>
      <c r="V107" s="4">
        <v>9</v>
      </c>
      <c r="W107" s="4">
        <v>17</v>
      </c>
      <c r="X107" s="4">
        <v>28</v>
      </c>
      <c r="Y107" s="4">
        <v>20</v>
      </c>
      <c r="Z107" s="4">
        <v>22</v>
      </c>
      <c r="AA107" s="4">
        <v>13</v>
      </c>
      <c r="AB107" s="4">
        <v>18</v>
      </c>
      <c r="AC107" s="4">
        <v>32</v>
      </c>
      <c r="AD107" s="4">
        <v>6</v>
      </c>
      <c r="AE107" s="4">
        <v>23</v>
      </c>
      <c r="AF107" s="4">
        <v>12</v>
      </c>
      <c r="AG107" s="4">
        <v>21</v>
      </c>
      <c r="AH107" s="4">
        <v>31</v>
      </c>
      <c r="AI107" s="4">
        <v>26</v>
      </c>
      <c r="AJ107" s="4">
        <v>0</v>
      </c>
      <c r="AK107" s="4">
        <v>0</v>
      </c>
      <c r="AL107" s="4">
        <v>0</v>
      </c>
    </row>
    <row r="108" spans="5:38" ht="16.149999999999999" thickBot="1" x14ac:dyDescent="0.55000000000000004">
      <c r="E108" s="101"/>
      <c r="F108" s="99"/>
      <c r="G108" s="4">
        <v>3</v>
      </c>
      <c r="H108" s="4">
        <v>2</v>
      </c>
      <c r="I108" s="4">
        <v>1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4">
        <v>0</v>
      </c>
    </row>
    <row r="109" spans="5:38" x14ac:dyDescent="0.5">
      <c r="E109" s="100">
        <v>5</v>
      </c>
      <c r="F109" s="98" t="s">
        <v>13</v>
      </c>
      <c r="G109" s="4">
        <v>11</v>
      </c>
      <c r="H109" s="4">
        <v>25</v>
      </c>
      <c r="I109" s="4">
        <v>7</v>
      </c>
      <c r="J109" s="4">
        <v>19</v>
      </c>
      <c r="K109" s="4">
        <v>27</v>
      </c>
      <c r="L109" s="4">
        <v>14</v>
      </c>
      <c r="M109" s="4">
        <v>5</v>
      </c>
      <c r="N109" s="4">
        <v>10</v>
      </c>
      <c r="O109" s="4">
        <v>30</v>
      </c>
      <c r="P109" s="4">
        <v>15</v>
      </c>
      <c r="Q109" s="4">
        <v>16</v>
      </c>
      <c r="R109" s="4">
        <v>29</v>
      </c>
      <c r="S109" s="4">
        <v>8</v>
      </c>
      <c r="T109" s="4">
        <v>24</v>
      </c>
      <c r="U109" s="4">
        <v>9</v>
      </c>
      <c r="V109" s="4">
        <v>17</v>
      </c>
      <c r="W109" s="4">
        <v>28</v>
      </c>
      <c r="X109" s="4">
        <v>20</v>
      </c>
      <c r="Y109" s="4">
        <v>22</v>
      </c>
      <c r="Z109" s="4">
        <v>13</v>
      </c>
      <c r="AA109" s="4">
        <v>18</v>
      </c>
      <c r="AB109" s="4">
        <v>32</v>
      </c>
      <c r="AC109" s="4">
        <v>6</v>
      </c>
      <c r="AD109" s="4">
        <v>23</v>
      </c>
      <c r="AE109" s="4">
        <v>12</v>
      </c>
      <c r="AF109" s="4">
        <v>21</v>
      </c>
      <c r="AG109" s="4">
        <v>31</v>
      </c>
      <c r="AH109" s="4">
        <v>26</v>
      </c>
      <c r="AI109" s="4">
        <v>0</v>
      </c>
      <c r="AJ109" s="4">
        <v>0</v>
      </c>
      <c r="AK109" s="4">
        <v>0</v>
      </c>
      <c r="AL109" s="4">
        <v>0</v>
      </c>
    </row>
    <row r="110" spans="5:38" ht="16.149999999999999" thickBot="1" x14ac:dyDescent="0.55000000000000004">
      <c r="E110" s="101"/>
      <c r="F110" s="99"/>
      <c r="G110" s="4">
        <v>4</v>
      </c>
      <c r="H110" s="4">
        <v>3</v>
      </c>
      <c r="I110" s="4">
        <v>2</v>
      </c>
      <c r="J110" s="4">
        <v>1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</row>
    <row r="112" spans="5:38" ht="16.149999999999999" thickBot="1" x14ac:dyDescent="0.55000000000000004"/>
    <row r="113" spans="5:38" x14ac:dyDescent="0.5">
      <c r="E113" s="100">
        <v>0</v>
      </c>
      <c r="F113" s="102" t="s">
        <v>11</v>
      </c>
      <c r="G113" s="4">
        <v>1</v>
      </c>
      <c r="H113" s="4">
        <v>4</v>
      </c>
      <c r="I113" s="4">
        <v>2</v>
      </c>
      <c r="J113" s="4">
        <v>3</v>
      </c>
      <c r="K113" s="4">
        <v>11</v>
      </c>
      <c r="L113" s="4">
        <v>25</v>
      </c>
      <c r="M113" s="4">
        <v>7</v>
      </c>
      <c r="N113" s="4">
        <v>19</v>
      </c>
      <c r="O113" s="4">
        <v>27</v>
      </c>
      <c r="P113" s="4">
        <v>14</v>
      </c>
      <c r="Q113" s="4">
        <v>5</v>
      </c>
      <c r="R113" s="4">
        <v>10</v>
      </c>
      <c r="S113" s="4">
        <v>30</v>
      </c>
      <c r="T113" s="4">
        <v>15</v>
      </c>
      <c r="U113" s="4">
        <v>16</v>
      </c>
      <c r="V113" s="4">
        <v>29</v>
      </c>
      <c r="W113" s="4">
        <v>8</v>
      </c>
      <c r="X113" s="4">
        <v>24</v>
      </c>
      <c r="Y113" s="4">
        <v>9</v>
      </c>
      <c r="Z113" s="4">
        <v>17</v>
      </c>
      <c r="AA113" s="4">
        <v>28</v>
      </c>
      <c r="AB113" s="4">
        <v>20</v>
      </c>
      <c r="AC113" s="4">
        <v>22</v>
      </c>
      <c r="AD113" s="4">
        <v>13</v>
      </c>
      <c r="AE113" s="4">
        <v>18</v>
      </c>
      <c r="AF113" s="4">
        <v>32</v>
      </c>
      <c r="AG113" s="4">
        <v>6</v>
      </c>
      <c r="AH113" s="4">
        <v>23</v>
      </c>
      <c r="AI113" s="4">
        <v>12</v>
      </c>
      <c r="AJ113" s="4">
        <v>21</v>
      </c>
      <c r="AK113" s="4">
        <v>31</v>
      </c>
      <c r="AL113" s="4">
        <v>26</v>
      </c>
    </row>
    <row r="114" spans="5:38" ht="16.149999999999999" thickBot="1" x14ac:dyDescent="0.55000000000000004">
      <c r="E114" s="101"/>
      <c r="F114" s="103"/>
      <c r="G114" s="4"/>
      <c r="H114" s="4"/>
      <c r="I114" s="4"/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4">
        <v>0</v>
      </c>
    </row>
    <row r="115" spans="5:38" x14ac:dyDescent="0.5">
      <c r="E115" s="100">
        <v>1</v>
      </c>
      <c r="F115" s="98" t="s">
        <v>13</v>
      </c>
      <c r="G115" s="4">
        <v>4</v>
      </c>
      <c r="H115" s="4">
        <v>2</v>
      </c>
      <c r="I115" s="4">
        <v>3</v>
      </c>
      <c r="J115" s="4">
        <v>11</v>
      </c>
      <c r="K115" s="4">
        <v>25</v>
      </c>
      <c r="L115" s="4">
        <v>7</v>
      </c>
      <c r="M115" s="4">
        <v>19</v>
      </c>
      <c r="N115" s="4">
        <v>27</v>
      </c>
      <c r="O115" s="4">
        <v>14</v>
      </c>
      <c r="P115" s="4">
        <v>5</v>
      </c>
      <c r="Q115" s="4">
        <v>10</v>
      </c>
      <c r="R115" s="4">
        <v>30</v>
      </c>
      <c r="S115" s="4">
        <v>15</v>
      </c>
      <c r="T115" s="4">
        <v>16</v>
      </c>
      <c r="U115" s="4">
        <v>29</v>
      </c>
      <c r="V115" s="4">
        <v>8</v>
      </c>
      <c r="W115" s="4">
        <v>24</v>
      </c>
      <c r="X115" s="4">
        <v>9</v>
      </c>
      <c r="Y115" s="4">
        <v>17</v>
      </c>
      <c r="Z115" s="4">
        <v>28</v>
      </c>
      <c r="AA115" s="4">
        <v>20</v>
      </c>
      <c r="AB115" s="4">
        <v>22</v>
      </c>
      <c r="AC115" s="4">
        <v>13</v>
      </c>
      <c r="AD115" s="4">
        <v>18</v>
      </c>
      <c r="AE115" s="4">
        <v>32</v>
      </c>
      <c r="AF115" s="4">
        <v>6</v>
      </c>
      <c r="AG115" s="4">
        <v>23</v>
      </c>
      <c r="AH115" s="4">
        <v>12</v>
      </c>
      <c r="AI115" s="4">
        <v>21</v>
      </c>
      <c r="AJ115" s="4">
        <v>31</v>
      </c>
      <c r="AK115" s="4">
        <v>26</v>
      </c>
      <c r="AL115" s="4">
        <v>0</v>
      </c>
    </row>
    <row r="116" spans="5:38" ht="16.149999999999999" thickBot="1" x14ac:dyDescent="0.55000000000000004">
      <c r="E116" s="101"/>
      <c r="F116" s="99"/>
      <c r="G116" s="4">
        <v>1</v>
      </c>
      <c r="H116" s="4">
        <v>0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</row>
    <row r="117" spans="5:38" x14ac:dyDescent="0.5">
      <c r="E117" s="100">
        <v>2</v>
      </c>
      <c r="F117" s="98" t="s">
        <v>13</v>
      </c>
      <c r="G117" s="4">
        <v>2</v>
      </c>
      <c r="H117" s="4">
        <v>3</v>
      </c>
      <c r="I117" s="4">
        <v>11</v>
      </c>
      <c r="J117" s="4">
        <v>25</v>
      </c>
      <c r="K117" s="4">
        <v>7</v>
      </c>
      <c r="L117" s="4">
        <v>19</v>
      </c>
      <c r="M117" s="4">
        <v>27</v>
      </c>
      <c r="N117" s="4">
        <v>14</v>
      </c>
      <c r="O117" s="4">
        <v>5</v>
      </c>
      <c r="P117" s="4">
        <v>10</v>
      </c>
      <c r="Q117" s="4">
        <v>30</v>
      </c>
      <c r="R117" s="4">
        <v>15</v>
      </c>
      <c r="S117" s="4">
        <v>16</v>
      </c>
      <c r="T117" s="4">
        <v>29</v>
      </c>
      <c r="U117" s="4">
        <v>8</v>
      </c>
      <c r="V117" s="4">
        <v>24</v>
      </c>
      <c r="W117" s="4">
        <v>9</v>
      </c>
      <c r="X117" s="4">
        <v>17</v>
      </c>
      <c r="Y117" s="4">
        <v>28</v>
      </c>
      <c r="Z117" s="4">
        <v>20</v>
      </c>
      <c r="AA117" s="4">
        <v>22</v>
      </c>
      <c r="AB117" s="4">
        <v>13</v>
      </c>
      <c r="AC117" s="4">
        <v>18</v>
      </c>
      <c r="AD117" s="4">
        <v>32</v>
      </c>
      <c r="AE117" s="4">
        <v>6</v>
      </c>
      <c r="AF117" s="4">
        <v>23</v>
      </c>
      <c r="AG117" s="4">
        <v>12</v>
      </c>
      <c r="AH117" s="4">
        <v>21</v>
      </c>
      <c r="AI117" s="4">
        <v>31</v>
      </c>
      <c r="AJ117" s="4">
        <v>26</v>
      </c>
      <c r="AK117" s="4">
        <v>0</v>
      </c>
      <c r="AL117" s="4">
        <v>0</v>
      </c>
    </row>
    <row r="118" spans="5:38" ht="16.149999999999999" thickBot="1" x14ac:dyDescent="0.55000000000000004">
      <c r="E118" s="101"/>
      <c r="F118" s="99"/>
      <c r="G118" s="4">
        <v>4</v>
      </c>
      <c r="H118" s="4">
        <v>1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0</v>
      </c>
      <c r="AJ118" s="4">
        <v>0</v>
      </c>
      <c r="AK118" s="4">
        <v>0</v>
      </c>
      <c r="AL118" s="4">
        <v>0</v>
      </c>
    </row>
    <row r="119" spans="5:38" x14ac:dyDescent="0.5">
      <c r="E119" s="100">
        <v>3</v>
      </c>
      <c r="F119" s="98" t="s">
        <v>16</v>
      </c>
      <c r="G119" s="4">
        <v>2</v>
      </c>
      <c r="H119" s="4">
        <v>3</v>
      </c>
      <c r="I119" s="4">
        <v>11</v>
      </c>
      <c r="J119" s="4">
        <v>25</v>
      </c>
      <c r="K119" s="4">
        <v>7</v>
      </c>
      <c r="L119" s="4">
        <v>19</v>
      </c>
      <c r="M119" s="4">
        <v>27</v>
      </c>
      <c r="N119" s="4">
        <v>14</v>
      </c>
      <c r="O119" s="4">
        <v>5</v>
      </c>
      <c r="P119" s="4">
        <v>10</v>
      </c>
      <c r="Q119" s="4">
        <v>30</v>
      </c>
      <c r="R119" s="4">
        <v>15</v>
      </c>
      <c r="S119" s="4">
        <v>16</v>
      </c>
      <c r="T119" s="4">
        <v>29</v>
      </c>
      <c r="U119" s="4">
        <v>8</v>
      </c>
      <c r="V119" s="4">
        <v>24</v>
      </c>
      <c r="W119" s="4">
        <v>9</v>
      </c>
      <c r="X119" s="4">
        <v>17</v>
      </c>
      <c r="Y119" s="4">
        <v>28</v>
      </c>
      <c r="Z119" s="4">
        <v>20</v>
      </c>
      <c r="AA119" s="4">
        <v>22</v>
      </c>
      <c r="AB119" s="4">
        <v>13</v>
      </c>
      <c r="AC119" s="4">
        <v>18</v>
      </c>
      <c r="AD119" s="4">
        <v>32</v>
      </c>
      <c r="AE119" s="4">
        <v>6</v>
      </c>
      <c r="AF119" s="4">
        <v>23</v>
      </c>
      <c r="AG119" s="4">
        <v>12</v>
      </c>
      <c r="AH119" s="4">
        <v>21</v>
      </c>
      <c r="AI119" s="4">
        <v>31</v>
      </c>
      <c r="AJ119" s="4">
        <v>26</v>
      </c>
      <c r="AK119" s="4">
        <v>0</v>
      </c>
      <c r="AL119" s="4">
        <v>0</v>
      </c>
    </row>
    <row r="120" spans="5:38" ht="16.149999999999999" thickBot="1" x14ac:dyDescent="0.55000000000000004">
      <c r="E120" s="101"/>
      <c r="F120" s="99"/>
      <c r="G120" s="4">
        <v>1</v>
      </c>
      <c r="H120" s="4">
        <v>4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</row>
    <row r="121" spans="5:38" x14ac:dyDescent="0.5">
      <c r="E121" s="100">
        <v>4</v>
      </c>
      <c r="F121" s="98" t="s">
        <v>13</v>
      </c>
      <c r="G121" s="4">
        <v>3</v>
      </c>
      <c r="H121" s="4">
        <v>11</v>
      </c>
      <c r="I121" s="4">
        <v>25</v>
      </c>
      <c r="J121" s="4">
        <v>7</v>
      </c>
      <c r="K121" s="4">
        <v>19</v>
      </c>
      <c r="L121" s="4">
        <v>27</v>
      </c>
      <c r="M121" s="4">
        <v>14</v>
      </c>
      <c r="N121" s="4">
        <v>5</v>
      </c>
      <c r="O121" s="4">
        <v>10</v>
      </c>
      <c r="P121" s="4">
        <v>30</v>
      </c>
      <c r="Q121" s="4">
        <v>15</v>
      </c>
      <c r="R121" s="4">
        <v>16</v>
      </c>
      <c r="S121" s="4">
        <v>29</v>
      </c>
      <c r="T121" s="4">
        <v>8</v>
      </c>
      <c r="U121" s="4">
        <v>24</v>
      </c>
      <c r="V121" s="4">
        <v>9</v>
      </c>
      <c r="W121" s="4">
        <v>17</v>
      </c>
      <c r="X121" s="4">
        <v>28</v>
      </c>
      <c r="Y121" s="4">
        <v>20</v>
      </c>
      <c r="Z121" s="4">
        <v>22</v>
      </c>
      <c r="AA121" s="4">
        <v>13</v>
      </c>
      <c r="AB121" s="4">
        <v>18</v>
      </c>
      <c r="AC121" s="4">
        <v>32</v>
      </c>
      <c r="AD121" s="4">
        <v>6</v>
      </c>
      <c r="AE121" s="4">
        <v>23</v>
      </c>
      <c r="AF121" s="4">
        <v>12</v>
      </c>
      <c r="AG121" s="4">
        <v>21</v>
      </c>
      <c r="AH121" s="4">
        <v>31</v>
      </c>
      <c r="AI121" s="4">
        <v>26</v>
      </c>
      <c r="AJ121" s="4">
        <v>0</v>
      </c>
      <c r="AK121" s="4">
        <v>0</v>
      </c>
      <c r="AL121" s="4">
        <v>0</v>
      </c>
    </row>
    <row r="122" spans="5:38" ht="16.149999999999999" thickBot="1" x14ac:dyDescent="0.55000000000000004">
      <c r="E122" s="101"/>
      <c r="F122" s="99"/>
      <c r="G122" s="4">
        <v>2</v>
      </c>
      <c r="H122" s="4">
        <v>1</v>
      </c>
      <c r="I122" s="4">
        <v>4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</row>
    <row r="123" spans="5:38" x14ac:dyDescent="0.5">
      <c r="E123" s="100">
        <v>5</v>
      </c>
      <c r="F123" s="98" t="s">
        <v>13</v>
      </c>
      <c r="G123" s="4">
        <v>11</v>
      </c>
      <c r="H123" s="4">
        <v>25</v>
      </c>
      <c r="I123" s="4">
        <v>7</v>
      </c>
      <c r="J123" s="4">
        <v>19</v>
      </c>
      <c r="K123" s="4">
        <v>27</v>
      </c>
      <c r="L123" s="4">
        <v>14</v>
      </c>
      <c r="M123" s="4">
        <v>5</v>
      </c>
      <c r="N123" s="4">
        <v>10</v>
      </c>
      <c r="O123" s="4">
        <v>30</v>
      </c>
      <c r="P123" s="4">
        <v>15</v>
      </c>
      <c r="Q123" s="4">
        <v>16</v>
      </c>
      <c r="R123" s="4">
        <v>29</v>
      </c>
      <c r="S123" s="4">
        <v>8</v>
      </c>
      <c r="T123" s="4">
        <v>24</v>
      </c>
      <c r="U123" s="4">
        <v>9</v>
      </c>
      <c r="V123" s="4">
        <v>17</v>
      </c>
      <c r="W123" s="4">
        <v>28</v>
      </c>
      <c r="X123" s="4">
        <v>20</v>
      </c>
      <c r="Y123" s="4">
        <v>22</v>
      </c>
      <c r="Z123" s="4">
        <v>13</v>
      </c>
      <c r="AA123" s="4">
        <v>18</v>
      </c>
      <c r="AB123" s="4">
        <v>32</v>
      </c>
      <c r="AC123" s="4">
        <v>6</v>
      </c>
      <c r="AD123" s="4">
        <v>23</v>
      </c>
      <c r="AE123" s="4">
        <v>12</v>
      </c>
      <c r="AF123" s="4">
        <v>21</v>
      </c>
      <c r="AG123" s="4">
        <v>31</v>
      </c>
      <c r="AH123" s="4">
        <v>26</v>
      </c>
      <c r="AI123" s="4">
        <v>0</v>
      </c>
      <c r="AJ123" s="4">
        <v>0</v>
      </c>
      <c r="AK123" s="4">
        <v>0</v>
      </c>
      <c r="AL123" s="4">
        <v>0</v>
      </c>
    </row>
    <row r="124" spans="5:38" ht="16.149999999999999" thickBot="1" x14ac:dyDescent="0.55000000000000004">
      <c r="E124" s="101"/>
      <c r="F124" s="99"/>
      <c r="G124" s="4">
        <v>3</v>
      </c>
      <c r="H124" s="4">
        <v>2</v>
      </c>
      <c r="I124" s="4">
        <v>1</v>
      </c>
      <c r="J124" s="4">
        <v>4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</row>
    <row r="126" spans="5:38" ht="16.149999999999999" thickBot="1" x14ac:dyDescent="0.55000000000000004"/>
    <row r="127" spans="5:38" x14ac:dyDescent="0.5">
      <c r="E127" s="100">
        <v>0</v>
      </c>
      <c r="F127" s="102" t="s">
        <v>11</v>
      </c>
      <c r="G127" s="4">
        <v>1</v>
      </c>
      <c r="H127" s="4">
        <v>3</v>
      </c>
      <c r="I127" s="4">
        <v>4</v>
      </c>
      <c r="J127" s="4">
        <v>2</v>
      </c>
      <c r="K127" s="4">
        <v>11</v>
      </c>
      <c r="L127" s="4">
        <v>25</v>
      </c>
      <c r="M127" s="4">
        <v>7</v>
      </c>
      <c r="N127" s="4">
        <v>19</v>
      </c>
      <c r="O127" s="4">
        <v>27</v>
      </c>
      <c r="P127" s="4">
        <v>14</v>
      </c>
      <c r="Q127" s="4">
        <v>5</v>
      </c>
      <c r="R127" s="4">
        <v>10</v>
      </c>
      <c r="S127" s="4">
        <v>30</v>
      </c>
      <c r="T127" s="4">
        <v>15</v>
      </c>
      <c r="U127" s="4">
        <v>16</v>
      </c>
      <c r="V127" s="4">
        <v>29</v>
      </c>
      <c r="W127" s="4">
        <v>8</v>
      </c>
      <c r="X127" s="4">
        <v>24</v>
      </c>
      <c r="Y127" s="4">
        <v>9</v>
      </c>
      <c r="Z127" s="4">
        <v>17</v>
      </c>
      <c r="AA127" s="4">
        <v>28</v>
      </c>
      <c r="AB127" s="4">
        <v>20</v>
      </c>
      <c r="AC127" s="4">
        <v>22</v>
      </c>
      <c r="AD127" s="4">
        <v>13</v>
      </c>
      <c r="AE127" s="4">
        <v>18</v>
      </c>
      <c r="AF127" s="4">
        <v>32</v>
      </c>
      <c r="AG127" s="4">
        <v>6</v>
      </c>
      <c r="AH127" s="4">
        <v>23</v>
      </c>
      <c r="AI127" s="4">
        <v>12</v>
      </c>
      <c r="AJ127" s="4">
        <v>21</v>
      </c>
      <c r="AK127" s="4">
        <v>31</v>
      </c>
      <c r="AL127" s="4">
        <v>26</v>
      </c>
    </row>
    <row r="128" spans="5:38" ht="16.149999999999999" thickBot="1" x14ac:dyDescent="0.55000000000000004">
      <c r="E128" s="101"/>
      <c r="F128" s="103"/>
      <c r="G128" s="4"/>
      <c r="H128" s="4"/>
      <c r="I128" s="4"/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</row>
    <row r="129" spans="5:38" x14ac:dyDescent="0.5">
      <c r="E129" s="100">
        <v>1</v>
      </c>
      <c r="F129" s="98" t="s">
        <v>13</v>
      </c>
      <c r="G129" s="4">
        <v>3</v>
      </c>
      <c r="H129" s="4">
        <v>4</v>
      </c>
      <c r="I129" s="4">
        <v>2</v>
      </c>
      <c r="J129" s="4">
        <v>11</v>
      </c>
      <c r="K129" s="4">
        <v>25</v>
      </c>
      <c r="L129" s="4">
        <v>7</v>
      </c>
      <c r="M129" s="4">
        <v>19</v>
      </c>
      <c r="N129" s="4">
        <v>27</v>
      </c>
      <c r="O129" s="4">
        <v>14</v>
      </c>
      <c r="P129" s="4">
        <v>5</v>
      </c>
      <c r="Q129" s="4">
        <v>10</v>
      </c>
      <c r="R129" s="4">
        <v>30</v>
      </c>
      <c r="S129" s="4">
        <v>15</v>
      </c>
      <c r="T129" s="4">
        <v>16</v>
      </c>
      <c r="U129" s="4">
        <v>29</v>
      </c>
      <c r="V129" s="4">
        <v>8</v>
      </c>
      <c r="W129" s="4">
        <v>24</v>
      </c>
      <c r="X129" s="4">
        <v>9</v>
      </c>
      <c r="Y129" s="4">
        <v>17</v>
      </c>
      <c r="Z129" s="4">
        <v>28</v>
      </c>
      <c r="AA129" s="4">
        <v>20</v>
      </c>
      <c r="AB129" s="4">
        <v>22</v>
      </c>
      <c r="AC129" s="4">
        <v>13</v>
      </c>
      <c r="AD129" s="4">
        <v>18</v>
      </c>
      <c r="AE129" s="4">
        <v>32</v>
      </c>
      <c r="AF129" s="4">
        <v>6</v>
      </c>
      <c r="AG129" s="4">
        <v>23</v>
      </c>
      <c r="AH129" s="4">
        <v>12</v>
      </c>
      <c r="AI129" s="4">
        <v>21</v>
      </c>
      <c r="AJ129" s="4">
        <v>31</v>
      </c>
      <c r="AK129" s="4">
        <v>26</v>
      </c>
      <c r="AL129" s="4">
        <v>0</v>
      </c>
    </row>
    <row r="130" spans="5:38" ht="16.149999999999999" thickBot="1" x14ac:dyDescent="0.55000000000000004">
      <c r="E130" s="101"/>
      <c r="F130" s="99"/>
      <c r="G130" s="4">
        <v>1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</row>
    <row r="131" spans="5:38" x14ac:dyDescent="0.5">
      <c r="E131" s="100">
        <v>2</v>
      </c>
      <c r="F131" s="98" t="s">
        <v>13</v>
      </c>
      <c r="G131" s="4">
        <v>4</v>
      </c>
      <c r="H131" s="4">
        <v>2</v>
      </c>
      <c r="I131" s="4">
        <v>11</v>
      </c>
      <c r="J131" s="4">
        <v>25</v>
      </c>
      <c r="K131" s="4">
        <v>7</v>
      </c>
      <c r="L131" s="4">
        <v>19</v>
      </c>
      <c r="M131" s="4">
        <v>27</v>
      </c>
      <c r="N131" s="4">
        <v>14</v>
      </c>
      <c r="O131" s="4">
        <v>5</v>
      </c>
      <c r="P131" s="4">
        <v>10</v>
      </c>
      <c r="Q131" s="4">
        <v>30</v>
      </c>
      <c r="R131" s="4">
        <v>15</v>
      </c>
      <c r="S131" s="4">
        <v>16</v>
      </c>
      <c r="T131" s="4">
        <v>29</v>
      </c>
      <c r="U131" s="4">
        <v>8</v>
      </c>
      <c r="V131" s="4">
        <v>24</v>
      </c>
      <c r="W131" s="4">
        <v>9</v>
      </c>
      <c r="X131" s="4">
        <v>17</v>
      </c>
      <c r="Y131" s="4">
        <v>28</v>
      </c>
      <c r="Z131" s="4">
        <v>20</v>
      </c>
      <c r="AA131" s="4">
        <v>22</v>
      </c>
      <c r="AB131" s="4">
        <v>13</v>
      </c>
      <c r="AC131" s="4">
        <v>18</v>
      </c>
      <c r="AD131" s="4">
        <v>32</v>
      </c>
      <c r="AE131" s="4">
        <v>6</v>
      </c>
      <c r="AF131" s="4">
        <v>23</v>
      </c>
      <c r="AG131" s="4">
        <v>12</v>
      </c>
      <c r="AH131" s="4">
        <v>21</v>
      </c>
      <c r="AI131" s="4">
        <v>31</v>
      </c>
      <c r="AJ131" s="4">
        <v>26</v>
      </c>
      <c r="AK131" s="4">
        <v>0</v>
      </c>
      <c r="AL131" s="4">
        <v>0</v>
      </c>
    </row>
    <row r="132" spans="5:38" ht="16.149999999999999" thickBot="1" x14ac:dyDescent="0.55000000000000004">
      <c r="E132" s="101"/>
      <c r="F132" s="99"/>
      <c r="G132" s="4">
        <v>3</v>
      </c>
      <c r="H132" s="4">
        <v>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</row>
    <row r="133" spans="5:38" x14ac:dyDescent="0.5">
      <c r="E133" s="100">
        <v>3</v>
      </c>
      <c r="F133" s="98" t="s">
        <v>13</v>
      </c>
      <c r="G133" s="4">
        <v>2</v>
      </c>
      <c r="H133" s="4">
        <v>11</v>
      </c>
      <c r="I133" s="4">
        <v>25</v>
      </c>
      <c r="J133" s="4">
        <v>7</v>
      </c>
      <c r="K133" s="4">
        <v>19</v>
      </c>
      <c r="L133" s="4">
        <v>27</v>
      </c>
      <c r="M133" s="4">
        <v>14</v>
      </c>
      <c r="N133" s="4">
        <v>5</v>
      </c>
      <c r="O133" s="4">
        <v>10</v>
      </c>
      <c r="P133" s="4">
        <v>30</v>
      </c>
      <c r="Q133" s="4">
        <v>15</v>
      </c>
      <c r="R133" s="4">
        <v>16</v>
      </c>
      <c r="S133" s="4">
        <v>29</v>
      </c>
      <c r="T133" s="4">
        <v>8</v>
      </c>
      <c r="U133" s="4">
        <v>24</v>
      </c>
      <c r="V133" s="4">
        <v>9</v>
      </c>
      <c r="W133" s="4">
        <v>17</v>
      </c>
      <c r="X133" s="4">
        <v>28</v>
      </c>
      <c r="Y133" s="4">
        <v>20</v>
      </c>
      <c r="Z133" s="4">
        <v>22</v>
      </c>
      <c r="AA133" s="4">
        <v>13</v>
      </c>
      <c r="AB133" s="4">
        <v>18</v>
      </c>
      <c r="AC133" s="4">
        <v>32</v>
      </c>
      <c r="AD133" s="4">
        <v>6</v>
      </c>
      <c r="AE133" s="4">
        <v>23</v>
      </c>
      <c r="AF133" s="4">
        <v>12</v>
      </c>
      <c r="AG133" s="4">
        <v>21</v>
      </c>
      <c r="AH133" s="4">
        <v>31</v>
      </c>
      <c r="AI133" s="4">
        <v>26</v>
      </c>
      <c r="AJ133" s="4">
        <v>0</v>
      </c>
      <c r="AK133" s="4">
        <v>0</v>
      </c>
      <c r="AL133" s="4">
        <v>0</v>
      </c>
    </row>
    <row r="134" spans="5:38" ht="16.149999999999999" thickBot="1" x14ac:dyDescent="0.55000000000000004">
      <c r="E134" s="101"/>
      <c r="F134" s="99"/>
      <c r="G134" s="4">
        <v>4</v>
      </c>
      <c r="H134" s="4">
        <v>3</v>
      </c>
      <c r="I134" s="4">
        <v>1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</row>
    <row r="135" spans="5:38" x14ac:dyDescent="0.5">
      <c r="E135" s="100">
        <v>4</v>
      </c>
      <c r="F135" s="98" t="s">
        <v>16</v>
      </c>
      <c r="G135" s="4">
        <v>2</v>
      </c>
      <c r="H135" s="4">
        <v>11</v>
      </c>
      <c r="I135" s="4">
        <v>25</v>
      </c>
      <c r="J135" s="4">
        <v>7</v>
      </c>
      <c r="K135" s="4">
        <v>19</v>
      </c>
      <c r="L135" s="4">
        <v>27</v>
      </c>
      <c r="M135" s="4">
        <v>14</v>
      </c>
      <c r="N135" s="4">
        <v>5</v>
      </c>
      <c r="O135" s="4">
        <v>10</v>
      </c>
      <c r="P135" s="4">
        <v>30</v>
      </c>
      <c r="Q135" s="4">
        <v>15</v>
      </c>
      <c r="R135" s="4">
        <v>16</v>
      </c>
      <c r="S135" s="4">
        <v>29</v>
      </c>
      <c r="T135" s="4">
        <v>8</v>
      </c>
      <c r="U135" s="4">
        <v>24</v>
      </c>
      <c r="V135" s="4">
        <v>9</v>
      </c>
      <c r="W135" s="4">
        <v>17</v>
      </c>
      <c r="X135" s="4">
        <v>28</v>
      </c>
      <c r="Y135" s="4">
        <v>20</v>
      </c>
      <c r="Z135" s="4">
        <v>22</v>
      </c>
      <c r="AA135" s="4">
        <v>13</v>
      </c>
      <c r="AB135" s="4">
        <v>18</v>
      </c>
      <c r="AC135" s="4">
        <v>32</v>
      </c>
      <c r="AD135" s="4">
        <v>6</v>
      </c>
      <c r="AE135" s="4">
        <v>23</v>
      </c>
      <c r="AF135" s="4">
        <v>12</v>
      </c>
      <c r="AG135" s="4">
        <v>21</v>
      </c>
      <c r="AH135" s="4">
        <v>31</v>
      </c>
      <c r="AI135" s="4">
        <v>26</v>
      </c>
      <c r="AJ135" s="4">
        <v>0</v>
      </c>
      <c r="AK135" s="4">
        <v>0</v>
      </c>
      <c r="AL135" s="4">
        <v>0</v>
      </c>
    </row>
    <row r="136" spans="5:38" ht="16.149999999999999" thickBot="1" x14ac:dyDescent="0.55000000000000004">
      <c r="E136" s="101"/>
      <c r="F136" s="99"/>
      <c r="G136" s="4">
        <v>1</v>
      </c>
      <c r="H136" s="4">
        <v>4</v>
      </c>
      <c r="I136" s="4">
        <v>3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</row>
    <row r="137" spans="5:38" x14ac:dyDescent="0.5">
      <c r="E137" s="100">
        <v>5</v>
      </c>
      <c r="F137" s="98" t="s">
        <v>13</v>
      </c>
      <c r="G137" s="4">
        <v>11</v>
      </c>
      <c r="H137" s="4">
        <v>25</v>
      </c>
      <c r="I137" s="4">
        <v>7</v>
      </c>
      <c r="J137" s="4">
        <v>19</v>
      </c>
      <c r="K137" s="4">
        <v>27</v>
      </c>
      <c r="L137" s="4">
        <v>14</v>
      </c>
      <c r="M137" s="4">
        <v>5</v>
      </c>
      <c r="N137" s="4">
        <v>10</v>
      </c>
      <c r="O137" s="4">
        <v>30</v>
      </c>
      <c r="P137" s="4">
        <v>15</v>
      </c>
      <c r="Q137" s="4">
        <v>16</v>
      </c>
      <c r="R137" s="4">
        <v>29</v>
      </c>
      <c r="S137" s="4">
        <v>8</v>
      </c>
      <c r="T137" s="4">
        <v>24</v>
      </c>
      <c r="U137" s="4">
        <v>9</v>
      </c>
      <c r="V137" s="4">
        <v>17</v>
      </c>
      <c r="W137" s="4">
        <v>28</v>
      </c>
      <c r="X137" s="4">
        <v>20</v>
      </c>
      <c r="Y137" s="4">
        <v>22</v>
      </c>
      <c r="Z137" s="4">
        <v>13</v>
      </c>
      <c r="AA137" s="4">
        <v>18</v>
      </c>
      <c r="AB137" s="4">
        <v>32</v>
      </c>
      <c r="AC137" s="4">
        <v>6</v>
      </c>
      <c r="AD137" s="4">
        <v>23</v>
      </c>
      <c r="AE137" s="4">
        <v>12</v>
      </c>
      <c r="AF137" s="4">
        <v>21</v>
      </c>
      <c r="AG137" s="4">
        <v>31</v>
      </c>
      <c r="AH137" s="4">
        <v>26</v>
      </c>
      <c r="AI137" s="4">
        <v>0</v>
      </c>
      <c r="AJ137" s="4">
        <v>0</v>
      </c>
      <c r="AK137" s="4">
        <v>0</v>
      </c>
      <c r="AL137" s="4">
        <v>0</v>
      </c>
    </row>
    <row r="138" spans="5:38" ht="16.149999999999999" thickBot="1" x14ac:dyDescent="0.55000000000000004">
      <c r="E138" s="101"/>
      <c r="F138" s="99"/>
      <c r="G138" s="4">
        <v>2</v>
      </c>
      <c r="H138" s="4">
        <v>1</v>
      </c>
      <c r="I138" s="4">
        <v>4</v>
      </c>
      <c r="J138" s="4">
        <v>3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</row>
    <row r="140" spans="5:38" ht="16.149999999999999" thickBot="1" x14ac:dyDescent="0.55000000000000004"/>
    <row r="141" spans="5:38" x14ac:dyDescent="0.5">
      <c r="E141" s="100">
        <v>0</v>
      </c>
      <c r="F141" s="102" t="s">
        <v>11</v>
      </c>
      <c r="G141" s="4">
        <v>1</v>
      </c>
      <c r="H141" s="4">
        <v>4</v>
      </c>
      <c r="I141" s="4">
        <v>3</v>
      </c>
      <c r="J141" s="4">
        <v>2</v>
      </c>
      <c r="K141" s="4">
        <v>11</v>
      </c>
      <c r="L141" s="4">
        <v>25</v>
      </c>
      <c r="M141" s="4">
        <v>7</v>
      </c>
      <c r="N141" s="4">
        <v>19</v>
      </c>
      <c r="O141" s="4">
        <v>27</v>
      </c>
      <c r="P141" s="4">
        <v>14</v>
      </c>
      <c r="Q141" s="4">
        <v>5</v>
      </c>
      <c r="R141" s="4">
        <v>10</v>
      </c>
      <c r="S141" s="4">
        <v>30</v>
      </c>
      <c r="T141" s="4">
        <v>15</v>
      </c>
      <c r="U141" s="4">
        <v>16</v>
      </c>
      <c r="V141" s="4">
        <v>29</v>
      </c>
      <c r="W141" s="4">
        <v>8</v>
      </c>
      <c r="X141" s="4">
        <v>24</v>
      </c>
      <c r="Y141" s="4">
        <v>9</v>
      </c>
      <c r="Z141" s="4">
        <v>17</v>
      </c>
      <c r="AA141" s="4">
        <v>28</v>
      </c>
      <c r="AB141" s="4">
        <v>20</v>
      </c>
      <c r="AC141" s="4">
        <v>22</v>
      </c>
      <c r="AD141" s="4">
        <v>13</v>
      </c>
      <c r="AE141" s="4">
        <v>18</v>
      </c>
      <c r="AF141" s="4">
        <v>32</v>
      </c>
      <c r="AG141" s="4">
        <v>6</v>
      </c>
      <c r="AH141" s="4">
        <v>23</v>
      </c>
      <c r="AI141" s="4">
        <v>12</v>
      </c>
      <c r="AJ141" s="4">
        <v>21</v>
      </c>
      <c r="AK141" s="4">
        <v>31</v>
      </c>
      <c r="AL141" s="4">
        <v>26</v>
      </c>
    </row>
    <row r="142" spans="5:38" ht="16.149999999999999" thickBot="1" x14ac:dyDescent="0.55000000000000004">
      <c r="E142" s="101"/>
      <c r="F142" s="103"/>
      <c r="G142" s="4"/>
      <c r="H142" s="4"/>
      <c r="I142" s="4"/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0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0</v>
      </c>
      <c r="AJ142" s="4">
        <v>0</v>
      </c>
      <c r="AK142" s="4">
        <v>0</v>
      </c>
      <c r="AL142" s="4">
        <v>0</v>
      </c>
    </row>
    <row r="143" spans="5:38" x14ac:dyDescent="0.5">
      <c r="E143" s="100">
        <v>1</v>
      </c>
      <c r="F143" s="98" t="s">
        <v>13</v>
      </c>
      <c r="G143" s="4">
        <v>4</v>
      </c>
      <c r="H143" s="4">
        <v>3</v>
      </c>
      <c r="I143" s="4">
        <v>2</v>
      </c>
      <c r="J143" s="4">
        <v>11</v>
      </c>
      <c r="K143" s="4">
        <v>25</v>
      </c>
      <c r="L143" s="4">
        <v>7</v>
      </c>
      <c r="M143" s="4">
        <v>19</v>
      </c>
      <c r="N143" s="4">
        <v>27</v>
      </c>
      <c r="O143" s="4">
        <v>14</v>
      </c>
      <c r="P143" s="4">
        <v>5</v>
      </c>
      <c r="Q143" s="4">
        <v>10</v>
      </c>
      <c r="R143" s="4">
        <v>30</v>
      </c>
      <c r="S143" s="4">
        <v>15</v>
      </c>
      <c r="T143" s="4">
        <v>16</v>
      </c>
      <c r="U143" s="4">
        <v>29</v>
      </c>
      <c r="V143" s="4">
        <v>8</v>
      </c>
      <c r="W143" s="4">
        <v>24</v>
      </c>
      <c r="X143" s="4">
        <v>9</v>
      </c>
      <c r="Y143" s="4">
        <v>17</v>
      </c>
      <c r="Z143" s="4">
        <v>28</v>
      </c>
      <c r="AA143" s="4">
        <v>20</v>
      </c>
      <c r="AB143" s="4">
        <v>22</v>
      </c>
      <c r="AC143" s="4">
        <v>13</v>
      </c>
      <c r="AD143" s="4">
        <v>18</v>
      </c>
      <c r="AE143" s="4">
        <v>32</v>
      </c>
      <c r="AF143" s="4">
        <v>6</v>
      </c>
      <c r="AG143" s="4">
        <v>23</v>
      </c>
      <c r="AH143" s="4">
        <v>12</v>
      </c>
      <c r="AI143" s="4">
        <v>21</v>
      </c>
      <c r="AJ143" s="4">
        <v>31</v>
      </c>
      <c r="AK143" s="4">
        <v>26</v>
      </c>
      <c r="AL143" s="4">
        <v>0</v>
      </c>
    </row>
    <row r="144" spans="5:38" ht="16.149999999999999" thickBot="1" x14ac:dyDescent="0.55000000000000004">
      <c r="E144" s="101"/>
      <c r="F144" s="99"/>
      <c r="G144" s="4">
        <v>1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0</v>
      </c>
      <c r="AJ144" s="4">
        <v>0</v>
      </c>
      <c r="AK144" s="4">
        <v>0</v>
      </c>
      <c r="AL144" s="4">
        <v>0</v>
      </c>
    </row>
    <row r="145" spans="5:38" x14ac:dyDescent="0.5">
      <c r="E145" s="100">
        <v>2</v>
      </c>
      <c r="F145" s="98" t="s">
        <v>13</v>
      </c>
      <c r="G145" s="4">
        <v>3</v>
      </c>
      <c r="H145" s="4">
        <v>2</v>
      </c>
      <c r="I145" s="4">
        <v>11</v>
      </c>
      <c r="J145" s="4">
        <v>25</v>
      </c>
      <c r="K145" s="4">
        <v>7</v>
      </c>
      <c r="L145" s="4">
        <v>19</v>
      </c>
      <c r="M145" s="4">
        <v>27</v>
      </c>
      <c r="N145" s="4">
        <v>14</v>
      </c>
      <c r="O145" s="4">
        <v>5</v>
      </c>
      <c r="P145" s="4">
        <v>10</v>
      </c>
      <c r="Q145" s="4">
        <v>30</v>
      </c>
      <c r="R145" s="4">
        <v>15</v>
      </c>
      <c r="S145" s="4">
        <v>16</v>
      </c>
      <c r="T145" s="4">
        <v>29</v>
      </c>
      <c r="U145" s="4">
        <v>8</v>
      </c>
      <c r="V145" s="4">
        <v>24</v>
      </c>
      <c r="W145" s="4">
        <v>9</v>
      </c>
      <c r="X145" s="4">
        <v>17</v>
      </c>
      <c r="Y145" s="4">
        <v>28</v>
      </c>
      <c r="Z145" s="4">
        <v>20</v>
      </c>
      <c r="AA145" s="4">
        <v>22</v>
      </c>
      <c r="AB145" s="4">
        <v>13</v>
      </c>
      <c r="AC145" s="4">
        <v>18</v>
      </c>
      <c r="AD145" s="4">
        <v>32</v>
      </c>
      <c r="AE145" s="4">
        <v>6</v>
      </c>
      <c r="AF145" s="4">
        <v>23</v>
      </c>
      <c r="AG145" s="4">
        <v>12</v>
      </c>
      <c r="AH145" s="4">
        <v>21</v>
      </c>
      <c r="AI145" s="4">
        <v>31</v>
      </c>
      <c r="AJ145" s="4">
        <v>26</v>
      </c>
      <c r="AK145" s="4">
        <v>0</v>
      </c>
      <c r="AL145" s="4">
        <v>0</v>
      </c>
    </row>
    <row r="146" spans="5:38" ht="16.149999999999999" thickBot="1" x14ac:dyDescent="0.55000000000000004">
      <c r="E146" s="101"/>
      <c r="F146" s="99"/>
      <c r="G146" s="4">
        <v>4</v>
      </c>
      <c r="H146" s="4">
        <v>1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</row>
    <row r="147" spans="5:38" x14ac:dyDescent="0.5">
      <c r="E147" s="100">
        <v>3</v>
      </c>
      <c r="F147" s="104" t="s">
        <v>80</v>
      </c>
      <c r="G147" s="4">
        <v>2</v>
      </c>
      <c r="H147" s="4">
        <v>3</v>
      </c>
      <c r="I147" s="4">
        <v>11</v>
      </c>
      <c r="J147" s="4">
        <v>25</v>
      </c>
      <c r="K147" s="4">
        <v>7</v>
      </c>
      <c r="L147" s="4">
        <v>19</v>
      </c>
      <c r="M147" s="4">
        <v>27</v>
      </c>
      <c r="N147" s="4">
        <v>14</v>
      </c>
      <c r="O147" s="4">
        <v>5</v>
      </c>
      <c r="P147" s="4">
        <v>10</v>
      </c>
      <c r="Q147" s="4">
        <v>30</v>
      </c>
      <c r="R147" s="4">
        <v>15</v>
      </c>
      <c r="S147" s="4">
        <v>16</v>
      </c>
      <c r="T147" s="4">
        <v>29</v>
      </c>
      <c r="U147" s="4">
        <v>8</v>
      </c>
      <c r="V147" s="4">
        <v>24</v>
      </c>
      <c r="W147" s="4">
        <v>9</v>
      </c>
      <c r="X147" s="4">
        <v>17</v>
      </c>
      <c r="Y147" s="4">
        <v>28</v>
      </c>
      <c r="Z147" s="4">
        <v>20</v>
      </c>
      <c r="AA147" s="4">
        <v>22</v>
      </c>
      <c r="AB147" s="4">
        <v>13</v>
      </c>
      <c r="AC147" s="4">
        <v>18</v>
      </c>
      <c r="AD147" s="4">
        <v>32</v>
      </c>
      <c r="AE147" s="4">
        <v>6</v>
      </c>
      <c r="AF147" s="4">
        <v>23</v>
      </c>
      <c r="AG147" s="4">
        <v>12</v>
      </c>
      <c r="AH147" s="4">
        <v>21</v>
      </c>
      <c r="AI147" s="4">
        <v>31</v>
      </c>
      <c r="AJ147" s="4">
        <v>26</v>
      </c>
      <c r="AK147" s="4">
        <v>0</v>
      </c>
      <c r="AL147" s="4">
        <v>0</v>
      </c>
    </row>
    <row r="148" spans="5:38" ht="16.149999999999999" thickBot="1" x14ac:dyDescent="0.55000000000000004">
      <c r="E148" s="101"/>
      <c r="F148" s="105"/>
      <c r="G148" s="4">
        <v>1</v>
      </c>
      <c r="H148" s="4">
        <v>4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0</v>
      </c>
      <c r="AL148" s="4">
        <v>0</v>
      </c>
    </row>
    <row r="149" spans="5:38" x14ac:dyDescent="0.5">
      <c r="E149" s="100">
        <v>4</v>
      </c>
      <c r="F149" s="98" t="s">
        <v>13</v>
      </c>
      <c r="G149" s="4">
        <v>3</v>
      </c>
      <c r="H149" s="4">
        <v>11</v>
      </c>
      <c r="I149" s="4">
        <v>25</v>
      </c>
      <c r="J149" s="4">
        <v>7</v>
      </c>
      <c r="K149" s="4">
        <v>19</v>
      </c>
      <c r="L149" s="4">
        <v>27</v>
      </c>
      <c r="M149" s="4">
        <v>14</v>
      </c>
      <c r="N149" s="4">
        <v>5</v>
      </c>
      <c r="O149" s="4">
        <v>10</v>
      </c>
      <c r="P149" s="4">
        <v>30</v>
      </c>
      <c r="Q149" s="4">
        <v>15</v>
      </c>
      <c r="R149" s="4">
        <v>16</v>
      </c>
      <c r="S149" s="4">
        <v>29</v>
      </c>
      <c r="T149" s="4">
        <v>8</v>
      </c>
      <c r="U149" s="4">
        <v>24</v>
      </c>
      <c r="V149" s="4">
        <v>9</v>
      </c>
      <c r="W149" s="4">
        <v>17</v>
      </c>
      <c r="X149" s="4">
        <v>28</v>
      </c>
      <c r="Y149" s="4">
        <v>20</v>
      </c>
      <c r="Z149" s="4">
        <v>22</v>
      </c>
      <c r="AA149" s="4">
        <v>13</v>
      </c>
      <c r="AB149" s="4">
        <v>18</v>
      </c>
      <c r="AC149" s="4">
        <v>32</v>
      </c>
      <c r="AD149" s="4">
        <v>6</v>
      </c>
      <c r="AE149" s="4">
        <v>23</v>
      </c>
      <c r="AF149" s="4">
        <v>12</v>
      </c>
      <c r="AG149" s="4">
        <v>21</v>
      </c>
      <c r="AH149" s="4">
        <v>31</v>
      </c>
      <c r="AI149" s="4">
        <v>26</v>
      </c>
      <c r="AJ149" s="4">
        <v>0</v>
      </c>
      <c r="AK149" s="4">
        <v>0</v>
      </c>
      <c r="AL149" s="4">
        <v>0</v>
      </c>
    </row>
    <row r="150" spans="5:38" ht="16.149999999999999" thickBot="1" x14ac:dyDescent="0.55000000000000004">
      <c r="E150" s="101"/>
      <c r="F150" s="99"/>
      <c r="G150" s="4">
        <v>2</v>
      </c>
      <c r="H150" s="4">
        <v>1</v>
      </c>
      <c r="I150" s="4">
        <v>4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</row>
    <row r="151" spans="5:38" x14ac:dyDescent="0.5">
      <c r="E151" s="100">
        <v>5</v>
      </c>
      <c r="F151" s="98" t="s">
        <v>13</v>
      </c>
      <c r="G151" s="4">
        <v>11</v>
      </c>
      <c r="H151" s="4">
        <v>25</v>
      </c>
      <c r="I151" s="4">
        <v>7</v>
      </c>
      <c r="J151" s="4">
        <v>19</v>
      </c>
      <c r="K151" s="4">
        <v>27</v>
      </c>
      <c r="L151" s="4">
        <v>14</v>
      </c>
      <c r="M151" s="4">
        <v>5</v>
      </c>
      <c r="N151" s="4">
        <v>10</v>
      </c>
      <c r="O151" s="4">
        <v>30</v>
      </c>
      <c r="P151" s="4">
        <v>15</v>
      </c>
      <c r="Q151" s="4">
        <v>16</v>
      </c>
      <c r="R151" s="4">
        <v>29</v>
      </c>
      <c r="S151" s="4">
        <v>8</v>
      </c>
      <c r="T151" s="4">
        <v>24</v>
      </c>
      <c r="U151" s="4">
        <v>9</v>
      </c>
      <c r="V151" s="4">
        <v>17</v>
      </c>
      <c r="W151" s="4">
        <v>28</v>
      </c>
      <c r="X151" s="4">
        <v>20</v>
      </c>
      <c r="Y151" s="4">
        <v>22</v>
      </c>
      <c r="Z151" s="4">
        <v>13</v>
      </c>
      <c r="AA151" s="4">
        <v>18</v>
      </c>
      <c r="AB151" s="4">
        <v>32</v>
      </c>
      <c r="AC151" s="4">
        <v>6</v>
      </c>
      <c r="AD151" s="4">
        <v>23</v>
      </c>
      <c r="AE151" s="4">
        <v>12</v>
      </c>
      <c r="AF151" s="4">
        <v>21</v>
      </c>
      <c r="AG151" s="4">
        <v>31</v>
      </c>
      <c r="AH151" s="4">
        <v>26</v>
      </c>
      <c r="AI151" s="4">
        <v>0</v>
      </c>
      <c r="AJ151" s="4">
        <v>0</v>
      </c>
      <c r="AK151" s="4">
        <v>0</v>
      </c>
      <c r="AL151" s="4">
        <v>0</v>
      </c>
    </row>
    <row r="152" spans="5:38" ht="16.149999999999999" thickBot="1" x14ac:dyDescent="0.55000000000000004">
      <c r="E152" s="101"/>
      <c r="F152" s="99"/>
      <c r="G152" s="4">
        <v>3</v>
      </c>
      <c r="H152" s="4">
        <v>2</v>
      </c>
      <c r="I152" s="4">
        <v>1</v>
      </c>
      <c r="J152" s="4">
        <v>4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</row>
    <row r="154" spans="5:38" ht="16.149999999999999" thickBot="1" x14ac:dyDescent="0.55000000000000004"/>
    <row r="155" spans="5:38" x14ac:dyDescent="0.5">
      <c r="E155" s="100">
        <v>0</v>
      </c>
      <c r="F155" s="102" t="s">
        <v>11</v>
      </c>
      <c r="G155" s="4">
        <v>2</v>
      </c>
      <c r="H155" s="4">
        <v>1</v>
      </c>
      <c r="I155" s="4">
        <v>3</v>
      </c>
      <c r="J155" s="4">
        <v>4</v>
      </c>
      <c r="K155" s="4">
        <v>11</v>
      </c>
      <c r="L155" s="4">
        <v>25</v>
      </c>
      <c r="M155" s="4">
        <v>7</v>
      </c>
      <c r="N155" s="4">
        <v>19</v>
      </c>
      <c r="O155" s="4">
        <v>27</v>
      </c>
      <c r="P155" s="4">
        <v>14</v>
      </c>
      <c r="Q155" s="4">
        <v>5</v>
      </c>
      <c r="R155" s="4">
        <v>10</v>
      </c>
      <c r="S155" s="4">
        <v>30</v>
      </c>
      <c r="T155" s="4">
        <v>15</v>
      </c>
      <c r="U155" s="4">
        <v>16</v>
      </c>
      <c r="V155" s="4">
        <v>29</v>
      </c>
      <c r="W155" s="4">
        <v>8</v>
      </c>
      <c r="X155" s="4">
        <v>24</v>
      </c>
      <c r="Y155" s="4">
        <v>9</v>
      </c>
      <c r="Z155" s="4">
        <v>17</v>
      </c>
      <c r="AA155" s="4">
        <v>28</v>
      </c>
      <c r="AB155" s="4">
        <v>20</v>
      </c>
      <c r="AC155" s="4">
        <v>22</v>
      </c>
      <c r="AD155" s="4">
        <v>13</v>
      </c>
      <c r="AE155" s="4">
        <v>18</v>
      </c>
      <c r="AF155" s="4">
        <v>32</v>
      </c>
      <c r="AG155" s="4">
        <v>6</v>
      </c>
      <c r="AH155" s="4">
        <v>23</v>
      </c>
      <c r="AI155" s="4">
        <v>12</v>
      </c>
      <c r="AJ155" s="4">
        <v>21</v>
      </c>
      <c r="AK155" s="4">
        <v>31</v>
      </c>
      <c r="AL155" s="4">
        <v>26</v>
      </c>
    </row>
    <row r="156" spans="5:38" ht="16.149999999999999" thickBot="1" x14ac:dyDescent="0.55000000000000004">
      <c r="E156" s="101"/>
      <c r="F156" s="103"/>
      <c r="G156" s="4"/>
      <c r="H156" s="4"/>
      <c r="I156" s="4"/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4">
        <v>0</v>
      </c>
    </row>
    <row r="157" spans="5:38" x14ac:dyDescent="0.5">
      <c r="E157" s="100">
        <v>1</v>
      </c>
      <c r="F157" s="98" t="s">
        <v>13</v>
      </c>
      <c r="G157" s="4">
        <v>1</v>
      </c>
      <c r="H157" s="4">
        <v>3</v>
      </c>
      <c r="I157" s="4">
        <v>4</v>
      </c>
      <c r="J157" s="4">
        <v>11</v>
      </c>
      <c r="K157" s="4">
        <v>25</v>
      </c>
      <c r="L157" s="4">
        <v>7</v>
      </c>
      <c r="M157" s="4">
        <v>19</v>
      </c>
      <c r="N157" s="4">
        <v>27</v>
      </c>
      <c r="O157" s="4">
        <v>14</v>
      </c>
      <c r="P157" s="4">
        <v>5</v>
      </c>
      <c r="Q157" s="4">
        <v>10</v>
      </c>
      <c r="R157" s="4">
        <v>30</v>
      </c>
      <c r="S157" s="4">
        <v>15</v>
      </c>
      <c r="T157" s="4">
        <v>16</v>
      </c>
      <c r="U157" s="4">
        <v>29</v>
      </c>
      <c r="V157" s="4">
        <v>8</v>
      </c>
      <c r="W157" s="4">
        <v>24</v>
      </c>
      <c r="X157" s="4">
        <v>9</v>
      </c>
      <c r="Y157" s="4">
        <v>17</v>
      </c>
      <c r="Z157" s="4">
        <v>28</v>
      </c>
      <c r="AA157" s="4">
        <v>20</v>
      </c>
      <c r="AB157" s="4">
        <v>22</v>
      </c>
      <c r="AC157" s="4">
        <v>13</v>
      </c>
      <c r="AD157" s="4">
        <v>18</v>
      </c>
      <c r="AE157" s="4">
        <v>32</v>
      </c>
      <c r="AF157" s="4">
        <v>6</v>
      </c>
      <c r="AG157" s="4">
        <v>23</v>
      </c>
      <c r="AH157" s="4">
        <v>12</v>
      </c>
      <c r="AI157" s="4">
        <v>21</v>
      </c>
      <c r="AJ157" s="4">
        <v>31</v>
      </c>
      <c r="AK157" s="4">
        <v>26</v>
      </c>
      <c r="AL157" s="4">
        <v>0</v>
      </c>
    </row>
    <row r="158" spans="5:38" ht="16.149999999999999" thickBot="1" x14ac:dyDescent="0.55000000000000004">
      <c r="E158" s="101"/>
      <c r="F158" s="99"/>
      <c r="G158" s="4">
        <v>2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4">
        <v>0</v>
      </c>
    </row>
    <row r="159" spans="5:38" x14ac:dyDescent="0.5">
      <c r="E159" s="100">
        <v>2</v>
      </c>
      <c r="F159" s="98" t="s">
        <v>13</v>
      </c>
      <c r="G159" s="4">
        <v>3</v>
      </c>
      <c r="H159" s="4">
        <v>4</v>
      </c>
      <c r="I159" s="4">
        <v>11</v>
      </c>
      <c r="J159" s="4">
        <v>25</v>
      </c>
      <c r="K159" s="4">
        <v>7</v>
      </c>
      <c r="L159" s="4">
        <v>19</v>
      </c>
      <c r="M159" s="4">
        <v>27</v>
      </c>
      <c r="N159" s="4">
        <v>14</v>
      </c>
      <c r="O159" s="4">
        <v>5</v>
      </c>
      <c r="P159" s="4">
        <v>10</v>
      </c>
      <c r="Q159" s="4">
        <v>30</v>
      </c>
      <c r="R159" s="4">
        <v>15</v>
      </c>
      <c r="S159" s="4">
        <v>16</v>
      </c>
      <c r="T159" s="4">
        <v>29</v>
      </c>
      <c r="U159" s="4">
        <v>8</v>
      </c>
      <c r="V159" s="4">
        <v>24</v>
      </c>
      <c r="W159" s="4">
        <v>9</v>
      </c>
      <c r="X159" s="4">
        <v>17</v>
      </c>
      <c r="Y159" s="4">
        <v>28</v>
      </c>
      <c r="Z159" s="4">
        <v>20</v>
      </c>
      <c r="AA159" s="4">
        <v>22</v>
      </c>
      <c r="AB159" s="4">
        <v>13</v>
      </c>
      <c r="AC159" s="4">
        <v>18</v>
      </c>
      <c r="AD159" s="4">
        <v>32</v>
      </c>
      <c r="AE159" s="4">
        <v>6</v>
      </c>
      <c r="AF159" s="4">
        <v>23</v>
      </c>
      <c r="AG159" s="4">
        <v>12</v>
      </c>
      <c r="AH159" s="4">
        <v>21</v>
      </c>
      <c r="AI159" s="4">
        <v>31</v>
      </c>
      <c r="AJ159" s="4">
        <v>26</v>
      </c>
      <c r="AK159" s="4">
        <v>0</v>
      </c>
      <c r="AL159" s="4">
        <v>0</v>
      </c>
    </row>
    <row r="160" spans="5:38" ht="16.149999999999999" thickBot="1" x14ac:dyDescent="0.55000000000000004">
      <c r="E160" s="101"/>
      <c r="F160" s="99"/>
      <c r="G160" s="4">
        <v>1</v>
      </c>
      <c r="H160" s="4">
        <v>2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4">
        <v>0</v>
      </c>
    </row>
    <row r="161" spans="5:38" x14ac:dyDescent="0.5">
      <c r="E161" s="100">
        <v>3</v>
      </c>
      <c r="F161" s="98" t="s">
        <v>17</v>
      </c>
      <c r="G161" s="4">
        <v>3</v>
      </c>
      <c r="H161" s="4">
        <v>4</v>
      </c>
      <c r="I161" s="4">
        <v>11</v>
      </c>
      <c r="J161" s="4">
        <v>25</v>
      </c>
      <c r="K161" s="4">
        <v>7</v>
      </c>
      <c r="L161" s="4">
        <v>19</v>
      </c>
      <c r="M161" s="4">
        <v>27</v>
      </c>
      <c r="N161" s="4">
        <v>14</v>
      </c>
      <c r="O161" s="4">
        <v>5</v>
      </c>
      <c r="P161" s="4">
        <v>10</v>
      </c>
      <c r="Q161" s="4">
        <v>30</v>
      </c>
      <c r="R161" s="4">
        <v>15</v>
      </c>
      <c r="S161" s="4">
        <v>16</v>
      </c>
      <c r="T161" s="4">
        <v>29</v>
      </c>
      <c r="U161" s="4">
        <v>8</v>
      </c>
      <c r="V161" s="4">
        <v>24</v>
      </c>
      <c r="W161" s="4">
        <v>9</v>
      </c>
      <c r="X161" s="4">
        <v>17</v>
      </c>
      <c r="Y161" s="4">
        <v>28</v>
      </c>
      <c r="Z161" s="4">
        <v>20</v>
      </c>
      <c r="AA161" s="4">
        <v>22</v>
      </c>
      <c r="AB161" s="4">
        <v>13</v>
      </c>
      <c r="AC161" s="4">
        <v>18</v>
      </c>
      <c r="AD161" s="4">
        <v>32</v>
      </c>
      <c r="AE161" s="4">
        <v>6</v>
      </c>
      <c r="AF161" s="4">
        <v>23</v>
      </c>
      <c r="AG161" s="4">
        <v>12</v>
      </c>
      <c r="AH161" s="4">
        <v>21</v>
      </c>
      <c r="AI161" s="4">
        <v>31</v>
      </c>
      <c r="AJ161" s="4">
        <v>26</v>
      </c>
      <c r="AK161" s="4">
        <v>0</v>
      </c>
      <c r="AL161" s="4">
        <v>0</v>
      </c>
    </row>
    <row r="162" spans="5:38" ht="16.149999999999999" thickBot="1" x14ac:dyDescent="0.55000000000000004">
      <c r="E162" s="101"/>
      <c r="F162" s="99"/>
      <c r="G162" s="4">
        <v>2</v>
      </c>
      <c r="H162" s="4">
        <v>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</row>
    <row r="163" spans="5:38" x14ac:dyDescent="0.5">
      <c r="E163" s="100">
        <v>4</v>
      </c>
      <c r="F163" s="98" t="s">
        <v>13</v>
      </c>
      <c r="G163" s="4">
        <v>4</v>
      </c>
      <c r="H163" s="4">
        <v>11</v>
      </c>
      <c r="I163" s="4">
        <v>25</v>
      </c>
      <c r="J163" s="4">
        <v>7</v>
      </c>
      <c r="K163" s="4">
        <v>19</v>
      </c>
      <c r="L163" s="4">
        <v>27</v>
      </c>
      <c r="M163" s="4">
        <v>14</v>
      </c>
      <c r="N163" s="4">
        <v>5</v>
      </c>
      <c r="O163" s="4">
        <v>10</v>
      </c>
      <c r="P163" s="4">
        <v>30</v>
      </c>
      <c r="Q163" s="4">
        <v>15</v>
      </c>
      <c r="R163" s="4">
        <v>16</v>
      </c>
      <c r="S163" s="4">
        <v>29</v>
      </c>
      <c r="T163" s="4">
        <v>8</v>
      </c>
      <c r="U163" s="4">
        <v>24</v>
      </c>
      <c r="V163" s="4">
        <v>9</v>
      </c>
      <c r="W163" s="4">
        <v>17</v>
      </c>
      <c r="X163" s="4">
        <v>28</v>
      </c>
      <c r="Y163" s="4">
        <v>20</v>
      </c>
      <c r="Z163" s="4">
        <v>22</v>
      </c>
      <c r="AA163" s="4">
        <v>13</v>
      </c>
      <c r="AB163" s="4">
        <v>18</v>
      </c>
      <c r="AC163" s="4">
        <v>32</v>
      </c>
      <c r="AD163" s="4">
        <v>6</v>
      </c>
      <c r="AE163" s="4">
        <v>23</v>
      </c>
      <c r="AF163" s="4">
        <v>12</v>
      </c>
      <c r="AG163" s="4">
        <v>21</v>
      </c>
      <c r="AH163" s="4">
        <v>31</v>
      </c>
      <c r="AI163" s="4">
        <v>26</v>
      </c>
      <c r="AJ163" s="4">
        <v>0</v>
      </c>
      <c r="AK163" s="4">
        <v>0</v>
      </c>
      <c r="AL163" s="4">
        <v>0</v>
      </c>
    </row>
    <row r="164" spans="5:38" ht="16.149999999999999" thickBot="1" x14ac:dyDescent="0.55000000000000004">
      <c r="E164" s="101"/>
      <c r="F164" s="99"/>
      <c r="G164" s="4">
        <v>3</v>
      </c>
      <c r="H164" s="4">
        <v>2</v>
      </c>
      <c r="I164" s="4">
        <v>1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</row>
    <row r="165" spans="5:38" x14ac:dyDescent="0.5">
      <c r="E165" s="100">
        <v>5</v>
      </c>
      <c r="F165" s="98" t="s">
        <v>13</v>
      </c>
      <c r="G165" s="4">
        <v>11</v>
      </c>
      <c r="H165" s="4">
        <v>25</v>
      </c>
      <c r="I165" s="4">
        <v>7</v>
      </c>
      <c r="J165" s="4">
        <v>19</v>
      </c>
      <c r="K165" s="4">
        <v>27</v>
      </c>
      <c r="L165" s="4">
        <v>14</v>
      </c>
      <c r="M165" s="4">
        <v>5</v>
      </c>
      <c r="N165" s="4">
        <v>10</v>
      </c>
      <c r="O165" s="4">
        <v>30</v>
      </c>
      <c r="P165" s="4">
        <v>15</v>
      </c>
      <c r="Q165" s="4">
        <v>16</v>
      </c>
      <c r="R165" s="4">
        <v>29</v>
      </c>
      <c r="S165" s="4">
        <v>8</v>
      </c>
      <c r="T165" s="4">
        <v>24</v>
      </c>
      <c r="U165" s="4">
        <v>9</v>
      </c>
      <c r="V165" s="4">
        <v>17</v>
      </c>
      <c r="W165" s="4">
        <v>28</v>
      </c>
      <c r="X165" s="4">
        <v>20</v>
      </c>
      <c r="Y165" s="4">
        <v>22</v>
      </c>
      <c r="Z165" s="4">
        <v>13</v>
      </c>
      <c r="AA165" s="4">
        <v>18</v>
      </c>
      <c r="AB165" s="4">
        <v>32</v>
      </c>
      <c r="AC165" s="4">
        <v>6</v>
      </c>
      <c r="AD165" s="4">
        <v>23</v>
      </c>
      <c r="AE165" s="4">
        <v>12</v>
      </c>
      <c r="AF165" s="4">
        <v>21</v>
      </c>
      <c r="AG165" s="4">
        <v>31</v>
      </c>
      <c r="AH165" s="4">
        <v>26</v>
      </c>
      <c r="AI165" s="4">
        <v>0</v>
      </c>
      <c r="AJ165" s="4">
        <v>0</v>
      </c>
      <c r="AK165" s="4">
        <v>0</v>
      </c>
      <c r="AL165" s="4">
        <v>0</v>
      </c>
    </row>
    <row r="166" spans="5:38" ht="16.149999999999999" thickBot="1" x14ac:dyDescent="0.55000000000000004">
      <c r="E166" s="101"/>
      <c r="F166" s="99"/>
      <c r="G166" s="4">
        <v>4</v>
      </c>
      <c r="H166" s="4">
        <v>3</v>
      </c>
      <c r="I166" s="4">
        <v>2</v>
      </c>
      <c r="J166" s="4">
        <v>1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4">
        <v>0</v>
      </c>
    </row>
    <row r="168" spans="5:38" ht="16.149999999999999" thickBot="1" x14ac:dyDescent="0.55000000000000004"/>
    <row r="169" spans="5:38" x14ac:dyDescent="0.5">
      <c r="E169" s="100">
        <v>0</v>
      </c>
      <c r="F169" s="102" t="s">
        <v>11</v>
      </c>
      <c r="G169" s="4">
        <v>2</v>
      </c>
      <c r="H169" s="4">
        <v>1</v>
      </c>
      <c r="I169" s="4">
        <v>4</v>
      </c>
      <c r="J169" s="4">
        <v>3</v>
      </c>
      <c r="K169" s="4">
        <v>11</v>
      </c>
      <c r="L169" s="4">
        <v>25</v>
      </c>
      <c r="M169" s="4">
        <v>7</v>
      </c>
      <c r="N169" s="4">
        <v>19</v>
      </c>
      <c r="O169" s="4">
        <v>27</v>
      </c>
      <c r="P169" s="4">
        <v>14</v>
      </c>
      <c r="Q169" s="4">
        <v>5</v>
      </c>
      <c r="R169" s="4">
        <v>10</v>
      </c>
      <c r="S169" s="4">
        <v>30</v>
      </c>
      <c r="T169" s="4">
        <v>15</v>
      </c>
      <c r="U169" s="4">
        <v>16</v>
      </c>
      <c r="V169" s="4">
        <v>29</v>
      </c>
      <c r="W169" s="4">
        <v>8</v>
      </c>
      <c r="X169" s="4">
        <v>24</v>
      </c>
      <c r="Y169" s="4">
        <v>9</v>
      </c>
      <c r="Z169" s="4">
        <v>17</v>
      </c>
      <c r="AA169" s="4">
        <v>28</v>
      </c>
      <c r="AB169" s="4">
        <v>20</v>
      </c>
      <c r="AC169" s="4">
        <v>22</v>
      </c>
      <c r="AD169" s="4">
        <v>13</v>
      </c>
      <c r="AE169" s="4">
        <v>18</v>
      </c>
      <c r="AF169" s="4">
        <v>32</v>
      </c>
      <c r="AG169" s="4">
        <v>6</v>
      </c>
      <c r="AH169" s="4">
        <v>23</v>
      </c>
      <c r="AI169" s="4">
        <v>12</v>
      </c>
      <c r="AJ169" s="4">
        <v>21</v>
      </c>
      <c r="AK169" s="4">
        <v>31</v>
      </c>
      <c r="AL169" s="4">
        <v>26</v>
      </c>
    </row>
    <row r="170" spans="5:38" ht="16.149999999999999" thickBot="1" x14ac:dyDescent="0.55000000000000004">
      <c r="E170" s="101"/>
      <c r="F170" s="103"/>
      <c r="G170" s="4"/>
      <c r="H170" s="4"/>
      <c r="I170" s="4"/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0</v>
      </c>
      <c r="AL170" s="4">
        <v>0</v>
      </c>
    </row>
    <row r="171" spans="5:38" x14ac:dyDescent="0.5">
      <c r="E171" s="100">
        <v>1</v>
      </c>
      <c r="F171" s="98" t="s">
        <v>13</v>
      </c>
      <c r="G171" s="4">
        <v>1</v>
      </c>
      <c r="H171" s="4">
        <v>4</v>
      </c>
      <c r="I171" s="4">
        <v>3</v>
      </c>
      <c r="J171" s="4">
        <v>11</v>
      </c>
      <c r="K171" s="4">
        <v>25</v>
      </c>
      <c r="L171" s="4">
        <v>7</v>
      </c>
      <c r="M171" s="4">
        <v>19</v>
      </c>
      <c r="N171" s="4">
        <v>27</v>
      </c>
      <c r="O171" s="4">
        <v>14</v>
      </c>
      <c r="P171" s="4">
        <v>5</v>
      </c>
      <c r="Q171" s="4">
        <v>10</v>
      </c>
      <c r="R171" s="4">
        <v>30</v>
      </c>
      <c r="S171" s="4">
        <v>15</v>
      </c>
      <c r="T171" s="4">
        <v>16</v>
      </c>
      <c r="U171" s="4">
        <v>29</v>
      </c>
      <c r="V171" s="4">
        <v>8</v>
      </c>
      <c r="W171" s="4">
        <v>24</v>
      </c>
      <c r="X171" s="4">
        <v>9</v>
      </c>
      <c r="Y171" s="4">
        <v>17</v>
      </c>
      <c r="Z171" s="4">
        <v>28</v>
      </c>
      <c r="AA171" s="4">
        <v>20</v>
      </c>
      <c r="AB171" s="4">
        <v>22</v>
      </c>
      <c r="AC171" s="4">
        <v>13</v>
      </c>
      <c r="AD171" s="4">
        <v>18</v>
      </c>
      <c r="AE171" s="4">
        <v>32</v>
      </c>
      <c r="AF171" s="4">
        <v>6</v>
      </c>
      <c r="AG171" s="4">
        <v>23</v>
      </c>
      <c r="AH171" s="4">
        <v>12</v>
      </c>
      <c r="AI171" s="4">
        <v>21</v>
      </c>
      <c r="AJ171" s="4">
        <v>31</v>
      </c>
      <c r="AK171" s="4">
        <v>26</v>
      </c>
      <c r="AL171" s="4">
        <v>0</v>
      </c>
    </row>
    <row r="172" spans="5:38" ht="16.149999999999999" thickBot="1" x14ac:dyDescent="0.55000000000000004">
      <c r="E172" s="101"/>
      <c r="F172" s="99"/>
      <c r="G172" s="4">
        <v>2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4">
        <v>0</v>
      </c>
    </row>
    <row r="173" spans="5:38" x14ac:dyDescent="0.5">
      <c r="E173" s="100">
        <v>2</v>
      </c>
      <c r="F173" s="98" t="s">
        <v>13</v>
      </c>
      <c r="G173" s="4">
        <v>4</v>
      </c>
      <c r="H173" s="4">
        <v>3</v>
      </c>
      <c r="I173" s="4">
        <v>11</v>
      </c>
      <c r="J173" s="4">
        <v>25</v>
      </c>
      <c r="K173" s="4">
        <v>7</v>
      </c>
      <c r="L173" s="4">
        <v>19</v>
      </c>
      <c r="M173" s="4">
        <v>27</v>
      </c>
      <c r="N173" s="4">
        <v>14</v>
      </c>
      <c r="O173" s="4">
        <v>5</v>
      </c>
      <c r="P173" s="4">
        <v>10</v>
      </c>
      <c r="Q173" s="4">
        <v>30</v>
      </c>
      <c r="R173" s="4">
        <v>15</v>
      </c>
      <c r="S173" s="4">
        <v>16</v>
      </c>
      <c r="T173" s="4">
        <v>29</v>
      </c>
      <c r="U173" s="4">
        <v>8</v>
      </c>
      <c r="V173" s="4">
        <v>24</v>
      </c>
      <c r="W173" s="4">
        <v>9</v>
      </c>
      <c r="X173" s="4">
        <v>17</v>
      </c>
      <c r="Y173" s="4">
        <v>28</v>
      </c>
      <c r="Z173" s="4">
        <v>20</v>
      </c>
      <c r="AA173" s="4">
        <v>22</v>
      </c>
      <c r="AB173" s="4">
        <v>13</v>
      </c>
      <c r="AC173" s="4">
        <v>18</v>
      </c>
      <c r="AD173" s="4">
        <v>32</v>
      </c>
      <c r="AE173" s="4">
        <v>6</v>
      </c>
      <c r="AF173" s="4">
        <v>23</v>
      </c>
      <c r="AG173" s="4">
        <v>12</v>
      </c>
      <c r="AH173" s="4">
        <v>21</v>
      </c>
      <c r="AI173" s="4">
        <v>31</v>
      </c>
      <c r="AJ173" s="4">
        <v>26</v>
      </c>
      <c r="AK173" s="4">
        <v>0</v>
      </c>
      <c r="AL173" s="4">
        <v>0</v>
      </c>
    </row>
    <row r="174" spans="5:38" ht="16.149999999999999" thickBot="1" x14ac:dyDescent="0.55000000000000004">
      <c r="E174" s="101"/>
      <c r="F174" s="99"/>
      <c r="G174" s="4">
        <v>1</v>
      </c>
      <c r="H174" s="4">
        <v>2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4">
        <v>0</v>
      </c>
    </row>
    <row r="175" spans="5:38" x14ac:dyDescent="0.5">
      <c r="E175" s="100">
        <v>3</v>
      </c>
      <c r="F175" s="104" t="s">
        <v>80</v>
      </c>
      <c r="G175" s="4">
        <v>3</v>
      </c>
      <c r="H175" s="4">
        <v>4</v>
      </c>
      <c r="I175" s="4">
        <v>11</v>
      </c>
      <c r="J175" s="4">
        <v>25</v>
      </c>
      <c r="K175" s="4">
        <v>7</v>
      </c>
      <c r="L175" s="4">
        <v>19</v>
      </c>
      <c r="M175" s="4">
        <v>27</v>
      </c>
      <c r="N175" s="4">
        <v>14</v>
      </c>
      <c r="O175" s="4">
        <v>5</v>
      </c>
      <c r="P175" s="4">
        <v>10</v>
      </c>
      <c r="Q175" s="4">
        <v>30</v>
      </c>
      <c r="R175" s="4">
        <v>15</v>
      </c>
      <c r="S175" s="4">
        <v>16</v>
      </c>
      <c r="T175" s="4">
        <v>29</v>
      </c>
      <c r="U175" s="4">
        <v>8</v>
      </c>
      <c r="V175" s="4">
        <v>24</v>
      </c>
      <c r="W175" s="4">
        <v>9</v>
      </c>
      <c r="X175" s="4">
        <v>17</v>
      </c>
      <c r="Y175" s="4">
        <v>28</v>
      </c>
      <c r="Z175" s="4">
        <v>20</v>
      </c>
      <c r="AA175" s="4">
        <v>22</v>
      </c>
      <c r="AB175" s="4">
        <v>13</v>
      </c>
      <c r="AC175" s="4">
        <v>18</v>
      </c>
      <c r="AD175" s="4">
        <v>32</v>
      </c>
      <c r="AE175" s="4">
        <v>6</v>
      </c>
      <c r="AF175" s="4">
        <v>23</v>
      </c>
      <c r="AG175" s="4">
        <v>12</v>
      </c>
      <c r="AH175" s="4">
        <v>21</v>
      </c>
      <c r="AI175" s="4">
        <v>31</v>
      </c>
      <c r="AJ175" s="4">
        <v>26</v>
      </c>
      <c r="AK175" s="4">
        <v>0</v>
      </c>
      <c r="AL175" s="4">
        <v>0</v>
      </c>
    </row>
    <row r="176" spans="5:38" ht="16.149999999999999" thickBot="1" x14ac:dyDescent="0.55000000000000004">
      <c r="E176" s="101"/>
      <c r="F176" s="105"/>
      <c r="G176" s="4">
        <v>2</v>
      </c>
      <c r="H176" s="4">
        <v>1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4">
        <v>0</v>
      </c>
    </row>
    <row r="177" spans="5:38" x14ac:dyDescent="0.5">
      <c r="E177" s="100">
        <v>4</v>
      </c>
      <c r="F177" s="98" t="s">
        <v>13</v>
      </c>
      <c r="G177" s="4">
        <v>4</v>
      </c>
      <c r="H177" s="4">
        <v>11</v>
      </c>
      <c r="I177" s="4">
        <v>25</v>
      </c>
      <c r="J177" s="4">
        <v>7</v>
      </c>
      <c r="K177" s="4">
        <v>19</v>
      </c>
      <c r="L177" s="4">
        <v>27</v>
      </c>
      <c r="M177" s="4">
        <v>14</v>
      </c>
      <c r="N177" s="4">
        <v>5</v>
      </c>
      <c r="O177" s="4">
        <v>10</v>
      </c>
      <c r="P177" s="4">
        <v>30</v>
      </c>
      <c r="Q177" s="4">
        <v>15</v>
      </c>
      <c r="R177" s="4">
        <v>16</v>
      </c>
      <c r="S177" s="4">
        <v>29</v>
      </c>
      <c r="T177" s="4">
        <v>8</v>
      </c>
      <c r="U177" s="4">
        <v>24</v>
      </c>
      <c r="V177" s="4">
        <v>9</v>
      </c>
      <c r="W177" s="4">
        <v>17</v>
      </c>
      <c r="X177" s="4">
        <v>28</v>
      </c>
      <c r="Y177" s="4">
        <v>20</v>
      </c>
      <c r="Z177" s="4">
        <v>22</v>
      </c>
      <c r="AA177" s="4">
        <v>13</v>
      </c>
      <c r="AB177" s="4">
        <v>18</v>
      </c>
      <c r="AC177" s="4">
        <v>32</v>
      </c>
      <c r="AD177" s="4">
        <v>6</v>
      </c>
      <c r="AE177" s="4">
        <v>23</v>
      </c>
      <c r="AF177" s="4">
        <v>12</v>
      </c>
      <c r="AG177" s="4">
        <v>21</v>
      </c>
      <c r="AH177" s="4">
        <v>31</v>
      </c>
      <c r="AI177" s="4">
        <v>26</v>
      </c>
      <c r="AJ177" s="4">
        <v>0</v>
      </c>
      <c r="AK177" s="4">
        <v>0</v>
      </c>
      <c r="AL177" s="4">
        <v>0</v>
      </c>
    </row>
    <row r="178" spans="5:38" ht="16.149999999999999" thickBot="1" x14ac:dyDescent="0.55000000000000004">
      <c r="E178" s="101"/>
      <c r="F178" s="99"/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4">
        <v>0</v>
      </c>
    </row>
    <row r="179" spans="5:38" x14ac:dyDescent="0.5">
      <c r="E179" s="100">
        <v>5</v>
      </c>
      <c r="F179" s="98" t="s">
        <v>13</v>
      </c>
      <c r="G179" s="4">
        <v>11</v>
      </c>
      <c r="H179" s="4">
        <v>25</v>
      </c>
      <c r="I179" s="4">
        <v>7</v>
      </c>
      <c r="J179" s="4">
        <v>19</v>
      </c>
      <c r="K179" s="4">
        <v>27</v>
      </c>
      <c r="L179" s="4">
        <v>14</v>
      </c>
      <c r="M179" s="4">
        <v>5</v>
      </c>
      <c r="N179" s="4">
        <v>10</v>
      </c>
      <c r="O179" s="4">
        <v>30</v>
      </c>
      <c r="P179" s="4">
        <v>15</v>
      </c>
      <c r="Q179" s="4">
        <v>16</v>
      </c>
      <c r="R179" s="4">
        <v>29</v>
      </c>
      <c r="S179" s="4">
        <v>8</v>
      </c>
      <c r="T179" s="4">
        <v>24</v>
      </c>
      <c r="U179" s="4">
        <v>9</v>
      </c>
      <c r="V179" s="4">
        <v>17</v>
      </c>
      <c r="W179" s="4">
        <v>28</v>
      </c>
      <c r="X179" s="4">
        <v>20</v>
      </c>
      <c r="Y179" s="4">
        <v>22</v>
      </c>
      <c r="Z179" s="4">
        <v>13</v>
      </c>
      <c r="AA179" s="4">
        <v>18</v>
      </c>
      <c r="AB179" s="4">
        <v>32</v>
      </c>
      <c r="AC179" s="4">
        <v>6</v>
      </c>
      <c r="AD179" s="4">
        <v>23</v>
      </c>
      <c r="AE179" s="4">
        <v>12</v>
      </c>
      <c r="AF179" s="4">
        <v>21</v>
      </c>
      <c r="AG179" s="4">
        <v>31</v>
      </c>
      <c r="AH179" s="4">
        <v>26</v>
      </c>
      <c r="AI179" s="4">
        <v>0</v>
      </c>
      <c r="AJ179" s="4">
        <v>0</v>
      </c>
      <c r="AK179" s="4">
        <v>0</v>
      </c>
      <c r="AL179" s="4">
        <v>0</v>
      </c>
    </row>
    <row r="180" spans="5:38" ht="16.149999999999999" thickBot="1" x14ac:dyDescent="0.55000000000000004">
      <c r="E180" s="101"/>
      <c r="F180" s="99"/>
      <c r="G180" s="4">
        <v>4</v>
      </c>
      <c r="H180" s="4">
        <v>3</v>
      </c>
      <c r="I180" s="4">
        <v>2</v>
      </c>
      <c r="J180" s="4">
        <v>1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</row>
    <row r="182" spans="5:38" ht="16.149999999999999" thickBot="1" x14ac:dyDescent="0.55000000000000004"/>
    <row r="183" spans="5:38" x14ac:dyDescent="0.5">
      <c r="E183" s="100">
        <v>0</v>
      </c>
      <c r="F183" s="102" t="s">
        <v>11</v>
      </c>
      <c r="G183" s="4">
        <v>2</v>
      </c>
      <c r="H183" s="4">
        <v>3</v>
      </c>
      <c r="I183" s="4">
        <v>1</v>
      </c>
      <c r="J183" s="4">
        <v>4</v>
      </c>
      <c r="K183" s="4">
        <v>11</v>
      </c>
      <c r="L183" s="4">
        <v>25</v>
      </c>
      <c r="M183" s="4">
        <v>7</v>
      </c>
      <c r="N183" s="4">
        <v>19</v>
      </c>
      <c r="O183" s="4">
        <v>27</v>
      </c>
      <c r="P183" s="4">
        <v>14</v>
      </c>
      <c r="Q183" s="4">
        <v>5</v>
      </c>
      <c r="R183" s="4">
        <v>10</v>
      </c>
      <c r="S183" s="4">
        <v>30</v>
      </c>
      <c r="T183" s="4">
        <v>15</v>
      </c>
      <c r="U183" s="4">
        <v>16</v>
      </c>
      <c r="V183" s="4">
        <v>29</v>
      </c>
      <c r="W183" s="4">
        <v>8</v>
      </c>
      <c r="X183" s="4">
        <v>24</v>
      </c>
      <c r="Y183" s="4">
        <v>9</v>
      </c>
      <c r="Z183" s="4">
        <v>17</v>
      </c>
      <c r="AA183" s="4">
        <v>28</v>
      </c>
      <c r="AB183" s="4">
        <v>20</v>
      </c>
      <c r="AC183" s="4">
        <v>22</v>
      </c>
      <c r="AD183" s="4">
        <v>13</v>
      </c>
      <c r="AE183" s="4">
        <v>18</v>
      </c>
      <c r="AF183" s="4">
        <v>32</v>
      </c>
      <c r="AG183" s="4">
        <v>6</v>
      </c>
      <c r="AH183" s="4">
        <v>23</v>
      </c>
      <c r="AI183" s="4">
        <v>12</v>
      </c>
      <c r="AJ183" s="4">
        <v>21</v>
      </c>
      <c r="AK183" s="4">
        <v>31</v>
      </c>
      <c r="AL183" s="4">
        <v>26</v>
      </c>
    </row>
    <row r="184" spans="5:38" ht="16.149999999999999" thickBot="1" x14ac:dyDescent="0.55000000000000004">
      <c r="E184" s="101"/>
      <c r="F184" s="103"/>
      <c r="G184" s="4"/>
      <c r="H184" s="4"/>
      <c r="I184" s="4"/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4">
        <v>0</v>
      </c>
    </row>
    <row r="185" spans="5:38" x14ac:dyDescent="0.5">
      <c r="E185" s="100">
        <v>1</v>
      </c>
      <c r="F185" s="98" t="s">
        <v>13</v>
      </c>
      <c r="G185" s="4">
        <v>3</v>
      </c>
      <c r="H185" s="4">
        <v>1</v>
      </c>
      <c r="I185" s="4">
        <v>4</v>
      </c>
      <c r="J185" s="4">
        <v>11</v>
      </c>
      <c r="K185" s="4">
        <v>25</v>
      </c>
      <c r="L185" s="4">
        <v>7</v>
      </c>
      <c r="M185" s="4">
        <v>19</v>
      </c>
      <c r="N185" s="4">
        <v>27</v>
      </c>
      <c r="O185" s="4">
        <v>14</v>
      </c>
      <c r="P185" s="4">
        <v>5</v>
      </c>
      <c r="Q185" s="4">
        <v>10</v>
      </c>
      <c r="R185" s="4">
        <v>30</v>
      </c>
      <c r="S185" s="4">
        <v>15</v>
      </c>
      <c r="T185" s="4">
        <v>16</v>
      </c>
      <c r="U185" s="4">
        <v>29</v>
      </c>
      <c r="V185" s="4">
        <v>8</v>
      </c>
      <c r="W185" s="4">
        <v>24</v>
      </c>
      <c r="X185" s="4">
        <v>9</v>
      </c>
      <c r="Y185" s="4">
        <v>17</v>
      </c>
      <c r="Z185" s="4">
        <v>28</v>
      </c>
      <c r="AA185" s="4">
        <v>20</v>
      </c>
      <c r="AB185" s="4">
        <v>22</v>
      </c>
      <c r="AC185" s="4">
        <v>13</v>
      </c>
      <c r="AD185" s="4">
        <v>18</v>
      </c>
      <c r="AE185" s="4">
        <v>32</v>
      </c>
      <c r="AF185" s="4">
        <v>6</v>
      </c>
      <c r="AG185" s="4">
        <v>23</v>
      </c>
      <c r="AH185" s="4">
        <v>12</v>
      </c>
      <c r="AI185" s="4">
        <v>21</v>
      </c>
      <c r="AJ185" s="4">
        <v>31</v>
      </c>
      <c r="AK185" s="4">
        <v>26</v>
      </c>
      <c r="AL185" s="4">
        <v>0</v>
      </c>
    </row>
    <row r="186" spans="5:38" ht="16.149999999999999" thickBot="1" x14ac:dyDescent="0.55000000000000004">
      <c r="E186" s="101"/>
      <c r="F186" s="99"/>
      <c r="G186" s="4">
        <v>2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0</v>
      </c>
      <c r="AL186" s="4">
        <v>0</v>
      </c>
    </row>
    <row r="187" spans="5:38" x14ac:dyDescent="0.5">
      <c r="E187" s="100">
        <v>2</v>
      </c>
      <c r="F187" s="98" t="s">
        <v>13</v>
      </c>
      <c r="G187" s="4">
        <v>1</v>
      </c>
      <c r="H187" s="4">
        <v>4</v>
      </c>
      <c r="I187" s="4">
        <v>11</v>
      </c>
      <c r="J187" s="4">
        <v>25</v>
      </c>
      <c r="K187" s="4">
        <v>7</v>
      </c>
      <c r="L187" s="4">
        <v>19</v>
      </c>
      <c r="M187" s="4">
        <v>27</v>
      </c>
      <c r="N187" s="4">
        <v>14</v>
      </c>
      <c r="O187" s="4">
        <v>5</v>
      </c>
      <c r="P187" s="4">
        <v>10</v>
      </c>
      <c r="Q187" s="4">
        <v>30</v>
      </c>
      <c r="R187" s="4">
        <v>15</v>
      </c>
      <c r="S187" s="4">
        <v>16</v>
      </c>
      <c r="T187" s="4">
        <v>29</v>
      </c>
      <c r="U187" s="4">
        <v>8</v>
      </c>
      <c r="V187" s="4">
        <v>24</v>
      </c>
      <c r="W187" s="4">
        <v>9</v>
      </c>
      <c r="X187" s="4">
        <v>17</v>
      </c>
      <c r="Y187" s="4">
        <v>28</v>
      </c>
      <c r="Z187" s="4">
        <v>20</v>
      </c>
      <c r="AA187" s="4">
        <v>22</v>
      </c>
      <c r="AB187" s="4">
        <v>13</v>
      </c>
      <c r="AC187" s="4">
        <v>18</v>
      </c>
      <c r="AD187" s="4">
        <v>32</v>
      </c>
      <c r="AE187" s="4">
        <v>6</v>
      </c>
      <c r="AF187" s="4">
        <v>23</v>
      </c>
      <c r="AG187" s="4">
        <v>12</v>
      </c>
      <c r="AH187" s="4">
        <v>21</v>
      </c>
      <c r="AI187" s="4">
        <v>31</v>
      </c>
      <c r="AJ187" s="4">
        <v>26</v>
      </c>
      <c r="AK187" s="4">
        <v>0</v>
      </c>
      <c r="AL187" s="4">
        <v>0</v>
      </c>
    </row>
    <row r="188" spans="5:38" ht="16.149999999999999" thickBot="1" x14ac:dyDescent="0.55000000000000004">
      <c r="E188" s="101"/>
      <c r="F188" s="99"/>
      <c r="G188" s="4">
        <v>3</v>
      </c>
      <c r="H188" s="4">
        <v>2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4">
        <v>0</v>
      </c>
    </row>
    <row r="189" spans="5:38" x14ac:dyDescent="0.5">
      <c r="E189" s="100">
        <v>3</v>
      </c>
      <c r="F189" s="98" t="s">
        <v>18</v>
      </c>
      <c r="G189" s="4">
        <v>4</v>
      </c>
      <c r="H189" s="4">
        <v>1</v>
      </c>
      <c r="I189" s="4">
        <v>11</v>
      </c>
      <c r="J189" s="4">
        <v>25</v>
      </c>
      <c r="K189" s="4">
        <v>7</v>
      </c>
      <c r="L189" s="4">
        <v>19</v>
      </c>
      <c r="M189" s="4">
        <v>27</v>
      </c>
      <c r="N189" s="4">
        <v>14</v>
      </c>
      <c r="O189" s="4">
        <v>5</v>
      </c>
      <c r="P189" s="4">
        <v>10</v>
      </c>
      <c r="Q189" s="4">
        <v>30</v>
      </c>
      <c r="R189" s="4">
        <v>15</v>
      </c>
      <c r="S189" s="4">
        <v>16</v>
      </c>
      <c r="T189" s="4">
        <v>29</v>
      </c>
      <c r="U189" s="4">
        <v>8</v>
      </c>
      <c r="V189" s="4">
        <v>24</v>
      </c>
      <c r="W189" s="4">
        <v>9</v>
      </c>
      <c r="X189" s="4">
        <v>17</v>
      </c>
      <c r="Y189" s="4">
        <v>28</v>
      </c>
      <c r="Z189" s="4">
        <v>20</v>
      </c>
      <c r="AA189" s="4">
        <v>22</v>
      </c>
      <c r="AB189" s="4">
        <v>13</v>
      </c>
      <c r="AC189" s="4">
        <v>18</v>
      </c>
      <c r="AD189" s="4">
        <v>32</v>
      </c>
      <c r="AE189" s="4">
        <v>6</v>
      </c>
      <c r="AF189" s="4">
        <v>23</v>
      </c>
      <c r="AG189" s="4">
        <v>12</v>
      </c>
      <c r="AH189" s="4">
        <v>21</v>
      </c>
      <c r="AI189" s="4">
        <v>31</v>
      </c>
      <c r="AJ189" s="4">
        <v>26</v>
      </c>
      <c r="AK189" s="4">
        <v>0</v>
      </c>
      <c r="AL189" s="4">
        <v>0</v>
      </c>
    </row>
    <row r="190" spans="5:38" ht="16.149999999999999" thickBot="1" x14ac:dyDescent="0.55000000000000004">
      <c r="E190" s="101"/>
      <c r="F190" s="99"/>
      <c r="G190" s="4">
        <v>3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</row>
    <row r="191" spans="5:38" x14ac:dyDescent="0.5">
      <c r="E191" s="100">
        <v>4</v>
      </c>
      <c r="F191" s="98" t="s">
        <v>13</v>
      </c>
      <c r="G191" s="4">
        <v>1</v>
      </c>
      <c r="H191" s="4">
        <v>11</v>
      </c>
      <c r="I191" s="4">
        <v>25</v>
      </c>
      <c r="J191" s="4">
        <v>7</v>
      </c>
      <c r="K191" s="4">
        <v>19</v>
      </c>
      <c r="L191" s="4">
        <v>27</v>
      </c>
      <c r="M191" s="4">
        <v>14</v>
      </c>
      <c r="N191" s="4">
        <v>5</v>
      </c>
      <c r="O191" s="4">
        <v>10</v>
      </c>
      <c r="P191" s="4">
        <v>30</v>
      </c>
      <c r="Q191" s="4">
        <v>15</v>
      </c>
      <c r="R191" s="4">
        <v>16</v>
      </c>
      <c r="S191" s="4">
        <v>29</v>
      </c>
      <c r="T191" s="4">
        <v>8</v>
      </c>
      <c r="U191" s="4">
        <v>24</v>
      </c>
      <c r="V191" s="4">
        <v>9</v>
      </c>
      <c r="W191" s="4">
        <v>17</v>
      </c>
      <c r="X191" s="4">
        <v>28</v>
      </c>
      <c r="Y191" s="4">
        <v>20</v>
      </c>
      <c r="Z191" s="4">
        <v>22</v>
      </c>
      <c r="AA191" s="4">
        <v>13</v>
      </c>
      <c r="AB191" s="4">
        <v>18</v>
      </c>
      <c r="AC191" s="4">
        <v>32</v>
      </c>
      <c r="AD191" s="4">
        <v>6</v>
      </c>
      <c r="AE191" s="4">
        <v>23</v>
      </c>
      <c r="AF191" s="4">
        <v>12</v>
      </c>
      <c r="AG191" s="4">
        <v>21</v>
      </c>
      <c r="AH191" s="4">
        <v>31</v>
      </c>
      <c r="AI191" s="4">
        <v>26</v>
      </c>
      <c r="AJ191" s="4">
        <v>0</v>
      </c>
      <c r="AK191" s="4">
        <v>0</v>
      </c>
      <c r="AL191" s="4">
        <v>0</v>
      </c>
    </row>
    <row r="192" spans="5:38" ht="16.149999999999999" thickBot="1" x14ac:dyDescent="0.55000000000000004">
      <c r="E192" s="101"/>
      <c r="F192" s="99"/>
      <c r="G192" s="4">
        <v>4</v>
      </c>
      <c r="H192" s="4">
        <v>3</v>
      </c>
      <c r="I192" s="4">
        <v>2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4">
        <v>0</v>
      </c>
    </row>
    <row r="193" spans="5:38" x14ac:dyDescent="0.5">
      <c r="E193" s="100">
        <v>5</v>
      </c>
      <c r="F193" s="98" t="s">
        <v>13</v>
      </c>
      <c r="G193" s="4">
        <v>11</v>
      </c>
      <c r="H193" s="4">
        <v>25</v>
      </c>
      <c r="I193" s="4">
        <v>7</v>
      </c>
      <c r="J193" s="4">
        <v>19</v>
      </c>
      <c r="K193" s="4">
        <v>27</v>
      </c>
      <c r="L193" s="4">
        <v>14</v>
      </c>
      <c r="M193" s="4">
        <v>5</v>
      </c>
      <c r="N193" s="4">
        <v>10</v>
      </c>
      <c r="O193" s="4">
        <v>30</v>
      </c>
      <c r="P193" s="4">
        <v>15</v>
      </c>
      <c r="Q193" s="4">
        <v>16</v>
      </c>
      <c r="R193" s="4">
        <v>29</v>
      </c>
      <c r="S193" s="4">
        <v>8</v>
      </c>
      <c r="T193" s="4">
        <v>24</v>
      </c>
      <c r="U193" s="4">
        <v>9</v>
      </c>
      <c r="V193" s="4">
        <v>17</v>
      </c>
      <c r="W193" s="4">
        <v>28</v>
      </c>
      <c r="X193" s="4">
        <v>20</v>
      </c>
      <c r="Y193" s="4">
        <v>22</v>
      </c>
      <c r="Z193" s="4">
        <v>13</v>
      </c>
      <c r="AA193" s="4">
        <v>18</v>
      </c>
      <c r="AB193" s="4">
        <v>32</v>
      </c>
      <c r="AC193" s="4">
        <v>6</v>
      </c>
      <c r="AD193" s="4">
        <v>23</v>
      </c>
      <c r="AE193" s="4">
        <v>12</v>
      </c>
      <c r="AF193" s="4">
        <v>21</v>
      </c>
      <c r="AG193" s="4">
        <v>31</v>
      </c>
      <c r="AH193" s="4">
        <v>26</v>
      </c>
      <c r="AI193" s="4">
        <v>0</v>
      </c>
      <c r="AJ193" s="4">
        <v>0</v>
      </c>
      <c r="AK193" s="4">
        <v>0</v>
      </c>
      <c r="AL193" s="4">
        <v>0</v>
      </c>
    </row>
    <row r="194" spans="5:38" ht="16.149999999999999" thickBot="1" x14ac:dyDescent="0.55000000000000004">
      <c r="E194" s="101"/>
      <c r="F194" s="99"/>
      <c r="G194" s="4">
        <v>1</v>
      </c>
      <c r="H194" s="4">
        <v>4</v>
      </c>
      <c r="I194" s="4">
        <v>3</v>
      </c>
      <c r="J194" s="4">
        <v>2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</row>
    <row r="196" spans="5:38" ht="16.149999999999999" thickBot="1" x14ac:dyDescent="0.55000000000000004"/>
    <row r="197" spans="5:38" x14ac:dyDescent="0.5">
      <c r="E197" s="100">
        <v>0</v>
      </c>
      <c r="F197" s="102" t="s">
        <v>11</v>
      </c>
      <c r="G197" s="4">
        <v>2</v>
      </c>
      <c r="H197" s="4">
        <v>4</v>
      </c>
      <c r="I197" s="4">
        <v>1</v>
      </c>
      <c r="J197" s="4">
        <v>3</v>
      </c>
      <c r="K197" s="4">
        <v>11</v>
      </c>
      <c r="L197" s="4">
        <v>25</v>
      </c>
      <c r="M197" s="4">
        <v>7</v>
      </c>
      <c r="N197" s="4">
        <v>19</v>
      </c>
      <c r="O197" s="4">
        <v>27</v>
      </c>
      <c r="P197" s="4">
        <v>14</v>
      </c>
      <c r="Q197" s="4">
        <v>5</v>
      </c>
      <c r="R197" s="4">
        <v>10</v>
      </c>
      <c r="S197" s="4">
        <v>30</v>
      </c>
      <c r="T197" s="4">
        <v>15</v>
      </c>
      <c r="U197" s="4">
        <v>16</v>
      </c>
      <c r="V197" s="4">
        <v>29</v>
      </c>
      <c r="W197" s="4">
        <v>8</v>
      </c>
      <c r="X197" s="4">
        <v>24</v>
      </c>
      <c r="Y197" s="4">
        <v>9</v>
      </c>
      <c r="Z197" s="4">
        <v>17</v>
      </c>
      <c r="AA197" s="4">
        <v>28</v>
      </c>
      <c r="AB197" s="4">
        <v>20</v>
      </c>
      <c r="AC197" s="4">
        <v>22</v>
      </c>
      <c r="AD197" s="4">
        <v>13</v>
      </c>
      <c r="AE197" s="4">
        <v>18</v>
      </c>
      <c r="AF197" s="4">
        <v>32</v>
      </c>
      <c r="AG197" s="4">
        <v>6</v>
      </c>
      <c r="AH197" s="4">
        <v>23</v>
      </c>
      <c r="AI197" s="4">
        <v>12</v>
      </c>
      <c r="AJ197" s="4">
        <v>21</v>
      </c>
      <c r="AK197" s="4">
        <v>31</v>
      </c>
      <c r="AL197" s="4">
        <v>26</v>
      </c>
    </row>
    <row r="198" spans="5:38" ht="16.149999999999999" thickBot="1" x14ac:dyDescent="0.55000000000000004">
      <c r="E198" s="101"/>
      <c r="F198" s="103"/>
      <c r="G198" s="4"/>
      <c r="H198" s="4"/>
      <c r="I198" s="4"/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4">
        <v>0</v>
      </c>
    </row>
    <row r="199" spans="5:38" x14ac:dyDescent="0.5">
      <c r="E199" s="100">
        <v>1</v>
      </c>
      <c r="F199" s="98" t="s">
        <v>13</v>
      </c>
      <c r="G199" s="4">
        <v>4</v>
      </c>
      <c r="H199" s="4">
        <v>1</v>
      </c>
      <c r="I199" s="4">
        <v>3</v>
      </c>
      <c r="J199" s="4">
        <v>11</v>
      </c>
      <c r="K199" s="4">
        <v>25</v>
      </c>
      <c r="L199" s="4">
        <v>7</v>
      </c>
      <c r="M199" s="4">
        <v>19</v>
      </c>
      <c r="N199" s="4">
        <v>27</v>
      </c>
      <c r="O199" s="4">
        <v>14</v>
      </c>
      <c r="P199" s="4">
        <v>5</v>
      </c>
      <c r="Q199" s="4">
        <v>10</v>
      </c>
      <c r="R199" s="4">
        <v>30</v>
      </c>
      <c r="S199" s="4">
        <v>15</v>
      </c>
      <c r="T199" s="4">
        <v>16</v>
      </c>
      <c r="U199" s="4">
        <v>29</v>
      </c>
      <c r="V199" s="4">
        <v>8</v>
      </c>
      <c r="W199" s="4">
        <v>24</v>
      </c>
      <c r="X199" s="4">
        <v>9</v>
      </c>
      <c r="Y199" s="4">
        <v>17</v>
      </c>
      <c r="Z199" s="4">
        <v>28</v>
      </c>
      <c r="AA199" s="4">
        <v>20</v>
      </c>
      <c r="AB199" s="4">
        <v>22</v>
      </c>
      <c r="AC199" s="4">
        <v>13</v>
      </c>
      <c r="AD199" s="4">
        <v>18</v>
      </c>
      <c r="AE199" s="4">
        <v>32</v>
      </c>
      <c r="AF199" s="4">
        <v>6</v>
      </c>
      <c r="AG199" s="4">
        <v>23</v>
      </c>
      <c r="AH199" s="4">
        <v>12</v>
      </c>
      <c r="AI199" s="4">
        <v>21</v>
      </c>
      <c r="AJ199" s="4">
        <v>31</v>
      </c>
      <c r="AK199" s="4">
        <v>26</v>
      </c>
      <c r="AL199" s="4">
        <v>0</v>
      </c>
    </row>
    <row r="200" spans="5:38" ht="16.149999999999999" thickBot="1" x14ac:dyDescent="0.55000000000000004">
      <c r="E200" s="101"/>
      <c r="F200" s="99"/>
      <c r="G200" s="4">
        <v>2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</row>
    <row r="201" spans="5:38" x14ac:dyDescent="0.5">
      <c r="E201" s="100">
        <v>2</v>
      </c>
      <c r="F201" s="98" t="s">
        <v>13</v>
      </c>
      <c r="G201" s="4">
        <v>1</v>
      </c>
      <c r="H201" s="4">
        <v>3</v>
      </c>
      <c r="I201" s="4">
        <v>11</v>
      </c>
      <c r="J201" s="4">
        <v>25</v>
      </c>
      <c r="K201" s="4">
        <v>7</v>
      </c>
      <c r="L201" s="4">
        <v>19</v>
      </c>
      <c r="M201" s="4">
        <v>27</v>
      </c>
      <c r="N201" s="4">
        <v>14</v>
      </c>
      <c r="O201" s="4">
        <v>5</v>
      </c>
      <c r="P201" s="4">
        <v>10</v>
      </c>
      <c r="Q201" s="4">
        <v>30</v>
      </c>
      <c r="R201" s="4">
        <v>15</v>
      </c>
      <c r="S201" s="4">
        <v>16</v>
      </c>
      <c r="T201" s="4">
        <v>29</v>
      </c>
      <c r="U201" s="4">
        <v>8</v>
      </c>
      <c r="V201" s="4">
        <v>24</v>
      </c>
      <c r="W201" s="4">
        <v>9</v>
      </c>
      <c r="X201" s="4">
        <v>17</v>
      </c>
      <c r="Y201" s="4">
        <v>28</v>
      </c>
      <c r="Z201" s="4">
        <v>20</v>
      </c>
      <c r="AA201" s="4">
        <v>22</v>
      </c>
      <c r="AB201" s="4">
        <v>13</v>
      </c>
      <c r="AC201" s="4">
        <v>18</v>
      </c>
      <c r="AD201" s="4">
        <v>32</v>
      </c>
      <c r="AE201" s="4">
        <v>6</v>
      </c>
      <c r="AF201" s="4">
        <v>23</v>
      </c>
      <c r="AG201" s="4">
        <v>12</v>
      </c>
      <c r="AH201" s="4">
        <v>21</v>
      </c>
      <c r="AI201" s="4">
        <v>31</v>
      </c>
      <c r="AJ201" s="4">
        <v>26</v>
      </c>
      <c r="AK201" s="4">
        <v>0</v>
      </c>
      <c r="AL201" s="4">
        <v>0</v>
      </c>
    </row>
    <row r="202" spans="5:38" ht="16.149999999999999" thickBot="1" x14ac:dyDescent="0.55000000000000004">
      <c r="E202" s="101"/>
      <c r="F202" s="99"/>
      <c r="G202" s="4">
        <v>4</v>
      </c>
      <c r="H202" s="4">
        <v>2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4">
        <v>0</v>
      </c>
    </row>
    <row r="203" spans="5:38" x14ac:dyDescent="0.5">
      <c r="E203" s="100">
        <v>3</v>
      </c>
      <c r="F203" s="98" t="s">
        <v>13</v>
      </c>
      <c r="G203" s="4">
        <v>3</v>
      </c>
      <c r="H203" s="4">
        <v>11</v>
      </c>
      <c r="I203" s="4">
        <v>25</v>
      </c>
      <c r="J203" s="4">
        <v>7</v>
      </c>
      <c r="K203" s="4">
        <v>19</v>
      </c>
      <c r="L203" s="4">
        <v>27</v>
      </c>
      <c r="M203" s="4">
        <v>14</v>
      </c>
      <c r="N203" s="4">
        <v>5</v>
      </c>
      <c r="O203" s="4">
        <v>10</v>
      </c>
      <c r="P203" s="4">
        <v>30</v>
      </c>
      <c r="Q203" s="4">
        <v>15</v>
      </c>
      <c r="R203" s="4">
        <v>16</v>
      </c>
      <c r="S203" s="4">
        <v>29</v>
      </c>
      <c r="T203" s="4">
        <v>8</v>
      </c>
      <c r="U203" s="4">
        <v>24</v>
      </c>
      <c r="V203" s="4">
        <v>9</v>
      </c>
      <c r="W203" s="4">
        <v>17</v>
      </c>
      <c r="X203" s="4">
        <v>28</v>
      </c>
      <c r="Y203" s="4">
        <v>20</v>
      </c>
      <c r="Z203" s="4">
        <v>22</v>
      </c>
      <c r="AA203" s="4">
        <v>13</v>
      </c>
      <c r="AB203" s="4">
        <v>18</v>
      </c>
      <c r="AC203" s="4">
        <v>32</v>
      </c>
      <c r="AD203" s="4">
        <v>6</v>
      </c>
      <c r="AE203" s="4">
        <v>23</v>
      </c>
      <c r="AF203" s="4">
        <v>12</v>
      </c>
      <c r="AG203" s="4">
        <v>21</v>
      </c>
      <c r="AH203" s="4">
        <v>31</v>
      </c>
      <c r="AI203" s="4">
        <v>26</v>
      </c>
      <c r="AJ203" s="4">
        <v>0</v>
      </c>
      <c r="AK203" s="4">
        <v>0</v>
      </c>
      <c r="AL203" s="4">
        <v>0</v>
      </c>
    </row>
    <row r="204" spans="5:38" ht="16.149999999999999" thickBot="1" x14ac:dyDescent="0.55000000000000004">
      <c r="E204" s="101"/>
      <c r="F204" s="99"/>
      <c r="G204" s="4">
        <v>1</v>
      </c>
      <c r="H204" s="4">
        <v>4</v>
      </c>
      <c r="I204" s="4">
        <v>2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4">
        <v>0</v>
      </c>
    </row>
    <row r="205" spans="5:38" x14ac:dyDescent="0.5">
      <c r="E205" s="100">
        <v>4</v>
      </c>
      <c r="F205" s="98" t="s">
        <v>16</v>
      </c>
      <c r="G205" s="4">
        <v>3</v>
      </c>
      <c r="H205" s="4">
        <v>11</v>
      </c>
      <c r="I205" s="4">
        <v>25</v>
      </c>
      <c r="J205" s="4">
        <v>7</v>
      </c>
      <c r="K205" s="4">
        <v>19</v>
      </c>
      <c r="L205" s="4">
        <v>27</v>
      </c>
      <c r="M205" s="4">
        <v>14</v>
      </c>
      <c r="N205" s="4">
        <v>5</v>
      </c>
      <c r="O205" s="4">
        <v>10</v>
      </c>
      <c r="P205" s="4">
        <v>30</v>
      </c>
      <c r="Q205" s="4">
        <v>15</v>
      </c>
      <c r="R205" s="4">
        <v>16</v>
      </c>
      <c r="S205" s="4">
        <v>29</v>
      </c>
      <c r="T205" s="4">
        <v>8</v>
      </c>
      <c r="U205" s="4">
        <v>24</v>
      </c>
      <c r="V205" s="4">
        <v>9</v>
      </c>
      <c r="W205" s="4">
        <v>17</v>
      </c>
      <c r="X205" s="4">
        <v>28</v>
      </c>
      <c r="Y205" s="4">
        <v>20</v>
      </c>
      <c r="Z205" s="4">
        <v>22</v>
      </c>
      <c r="AA205" s="4">
        <v>13</v>
      </c>
      <c r="AB205" s="4">
        <v>18</v>
      </c>
      <c r="AC205" s="4">
        <v>32</v>
      </c>
      <c r="AD205" s="4">
        <v>6</v>
      </c>
      <c r="AE205" s="4">
        <v>23</v>
      </c>
      <c r="AF205" s="4">
        <v>12</v>
      </c>
      <c r="AG205" s="4">
        <v>21</v>
      </c>
      <c r="AH205" s="4">
        <v>31</v>
      </c>
      <c r="AI205" s="4">
        <v>26</v>
      </c>
      <c r="AJ205" s="4">
        <v>0</v>
      </c>
      <c r="AK205" s="4">
        <v>0</v>
      </c>
      <c r="AL205" s="4">
        <v>0</v>
      </c>
    </row>
    <row r="206" spans="5:38" ht="16.149999999999999" thickBot="1" x14ac:dyDescent="0.55000000000000004">
      <c r="E206" s="101"/>
      <c r="F206" s="99"/>
      <c r="G206" s="4">
        <v>2</v>
      </c>
      <c r="H206" s="4">
        <v>1</v>
      </c>
      <c r="I206" s="4">
        <v>4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4">
        <v>0</v>
      </c>
    </row>
    <row r="207" spans="5:38" x14ac:dyDescent="0.5">
      <c r="E207" s="100">
        <v>5</v>
      </c>
      <c r="F207" s="98" t="s">
        <v>13</v>
      </c>
      <c r="G207" s="4">
        <v>11</v>
      </c>
      <c r="H207" s="4">
        <v>25</v>
      </c>
      <c r="I207" s="4">
        <v>7</v>
      </c>
      <c r="J207" s="4">
        <v>19</v>
      </c>
      <c r="K207" s="4">
        <v>27</v>
      </c>
      <c r="L207" s="4">
        <v>14</v>
      </c>
      <c r="M207" s="4">
        <v>5</v>
      </c>
      <c r="N207" s="4">
        <v>10</v>
      </c>
      <c r="O207" s="4">
        <v>30</v>
      </c>
      <c r="P207" s="4">
        <v>15</v>
      </c>
      <c r="Q207" s="4">
        <v>16</v>
      </c>
      <c r="R207" s="4">
        <v>29</v>
      </c>
      <c r="S207" s="4">
        <v>8</v>
      </c>
      <c r="T207" s="4">
        <v>24</v>
      </c>
      <c r="U207" s="4">
        <v>9</v>
      </c>
      <c r="V207" s="4">
        <v>17</v>
      </c>
      <c r="W207" s="4">
        <v>28</v>
      </c>
      <c r="X207" s="4">
        <v>20</v>
      </c>
      <c r="Y207" s="4">
        <v>22</v>
      </c>
      <c r="Z207" s="4">
        <v>13</v>
      </c>
      <c r="AA207" s="4">
        <v>18</v>
      </c>
      <c r="AB207" s="4">
        <v>32</v>
      </c>
      <c r="AC207" s="4">
        <v>6</v>
      </c>
      <c r="AD207" s="4">
        <v>23</v>
      </c>
      <c r="AE207" s="4">
        <v>12</v>
      </c>
      <c r="AF207" s="4">
        <v>21</v>
      </c>
      <c r="AG207" s="4">
        <v>31</v>
      </c>
      <c r="AH207" s="4">
        <v>26</v>
      </c>
      <c r="AI207" s="4">
        <v>0</v>
      </c>
      <c r="AJ207" s="4">
        <v>0</v>
      </c>
      <c r="AK207" s="4">
        <v>0</v>
      </c>
      <c r="AL207" s="4">
        <v>0</v>
      </c>
    </row>
    <row r="208" spans="5:38" ht="16.149999999999999" thickBot="1" x14ac:dyDescent="0.55000000000000004">
      <c r="E208" s="101"/>
      <c r="F208" s="99"/>
      <c r="G208" s="4">
        <v>3</v>
      </c>
      <c r="H208" s="4">
        <v>2</v>
      </c>
      <c r="I208" s="4">
        <v>1</v>
      </c>
      <c r="J208" s="4">
        <v>4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0</v>
      </c>
      <c r="AL208" s="4">
        <v>0</v>
      </c>
    </row>
    <row r="210" spans="5:38" ht="16.149999999999999" thickBot="1" x14ac:dyDescent="0.55000000000000004"/>
    <row r="211" spans="5:38" x14ac:dyDescent="0.5">
      <c r="E211" s="100">
        <v>0</v>
      </c>
      <c r="F211" s="102" t="s">
        <v>11</v>
      </c>
      <c r="G211" s="4">
        <v>2</v>
      </c>
      <c r="H211" s="4">
        <v>3</v>
      </c>
      <c r="I211" s="4">
        <v>4</v>
      </c>
      <c r="J211" s="4">
        <v>1</v>
      </c>
      <c r="K211" s="4">
        <v>11</v>
      </c>
      <c r="L211" s="4">
        <v>25</v>
      </c>
      <c r="M211" s="4">
        <v>7</v>
      </c>
      <c r="N211" s="4">
        <v>19</v>
      </c>
      <c r="O211" s="4">
        <v>27</v>
      </c>
      <c r="P211" s="4">
        <v>14</v>
      </c>
      <c r="Q211" s="4">
        <v>5</v>
      </c>
      <c r="R211" s="4">
        <v>10</v>
      </c>
      <c r="S211" s="4">
        <v>30</v>
      </c>
      <c r="T211" s="4">
        <v>15</v>
      </c>
      <c r="U211" s="4">
        <v>16</v>
      </c>
      <c r="V211" s="4">
        <v>29</v>
      </c>
      <c r="W211" s="4">
        <v>8</v>
      </c>
      <c r="X211" s="4">
        <v>24</v>
      </c>
      <c r="Y211" s="4">
        <v>9</v>
      </c>
      <c r="Z211" s="4">
        <v>17</v>
      </c>
      <c r="AA211" s="4">
        <v>28</v>
      </c>
      <c r="AB211" s="4">
        <v>20</v>
      </c>
      <c r="AC211" s="4">
        <v>22</v>
      </c>
      <c r="AD211" s="4">
        <v>13</v>
      </c>
      <c r="AE211" s="4">
        <v>18</v>
      </c>
      <c r="AF211" s="4">
        <v>32</v>
      </c>
      <c r="AG211" s="4">
        <v>6</v>
      </c>
      <c r="AH211" s="4">
        <v>23</v>
      </c>
      <c r="AI211" s="4">
        <v>12</v>
      </c>
      <c r="AJ211" s="4">
        <v>21</v>
      </c>
      <c r="AK211" s="4">
        <v>31</v>
      </c>
      <c r="AL211" s="4">
        <v>26</v>
      </c>
    </row>
    <row r="212" spans="5:38" ht="16.149999999999999" thickBot="1" x14ac:dyDescent="0.55000000000000004">
      <c r="E212" s="101"/>
      <c r="F212" s="103"/>
      <c r="G212" s="4"/>
      <c r="H212" s="4"/>
      <c r="I212" s="4"/>
      <c r="J212" s="4"/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0</v>
      </c>
      <c r="Z212" s="4">
        <v>0</v>
      </c>
      <c r="AA212" s="4">
        <v>0</v>
      </c>
      <c r="AB212" s="4">
        <v>0</v>
      </c>
      <c r="AC212" s="4">
        <v>0</v>
      </c>
      <c r="AD212" s="4">
        <v>0</v>
      </c>
      <c r="AE212" s="4">
        <v>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4">
        <v>0</v>
      </c>
    </row>
    <row r="213" spans="5:38" x14ac:dyDescent="0.5">
      <c r="E213" s="100">
        <v>1</v>
      </c>
      <c r="F213" s="98" t="s">
        <v>13</v>
      </c>
      <c r="G213" s="4">
        <v>3</v>
      </c>
      <c r="H213" s="4">
        <v>4</v>
      </c>
      <c r="I213" s="4">
        <v>1</v>
      </c>
      <c r="J213" s="4">
        <v>11</v>
      </c>
      <c r="K213" s="4">
        <v>25</v>
      </c>
      <c r="L213" s="4">
        <v>7</v>
      </c>
      <c r="M213" s="4">
        <v>19</v>
      </c>
      <c r="N213" s="4">
        <v>27</v>
      </c>
      <c r="O213" s="4">
        <v>14</v>
      </c>
      <c r="P213" s="4">
        <v>5</v>
      </c>
      <c r="Q213" s="4">
        <v>10</v>
      </c>
      <c r="R213" s="4">
        <v>30</v>
      </c>
      <c r="S213" s="4">
        <v>15</v>
      </c>
      <c r="T213" s="4">
        <v>16</v>
      </c>
      <c r="U213" s="4">
        <v>29</v>
      </c>
      <c r="V213" s="4">
        <v>8</v>
      </c>
      <c r="W213" s="4">
        <v>24</v>
      </c>
      <c r="X213" s="4">
        <v>9</v>
      </c>
      <c r="Y213" s="4">
        <v>17</v>
      </c>
      <c r="Z213" s="4">
        <v>28</v>
      </c>
      <c r="AA213" s="4">
        <v>20</v>
      </c>
      <c r="AB213" s="4">
        <v>22</v>
      </c>
      <c r="AC213" s="4">
        <v>13</v>
      </c>
      <c r="AD213" s="4">
        <v>18</v>
      </c>
      <c r="AE213" s="4">
        <v>32</v>
      </c>
      <c r="AF213" s="4">
        <v>6</v>
      </c>
      <c r="AG213" s="4">
        <v>23</v>
      </c>
      <c r="AH213" s="4">
        <v>12</v>
      </c>
      <c r="AI213" s="4">
        <v>21</v>
      </c>
      <c r="AJ213" s="4">
        <v>31</v>
      </c>
      <c r="AK213" s="4">
        <v>26</v>
      </c>
      <c r="AL213" s="4">
        <v>0</v>
      </c>
    </row>
    <row r="214" spans="5:38" ht="16.149999999999999" thickBot="1" x14ac:dyDescent="0.55000000000000004">
      <c r="E214" s="101"/>
      <c r="F214" s="99"/>
      <c r="G214" s="4">
        <v>2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4">
        <v>0</v>
      </c>
    </row>
    <row r="215" spans="5:38" x14ac:dyDescent="0.5">
      <c r="E215" s="100">
        <v>2</v>
      </c>
      <c r="F215" s="98" t="s">
        <v>13</v>
      </c>
      <c r="G215" s="4">
        <v>4</v>
      </c>
      <c r="H215" s="4">
        <v>1</v>
      </c>
      <c r="I215" s="4">
        <v>11</v>
      </c>
      <c r="J215" s="4">
        <v>25</v>
      </c>
      <c r="K215" s="4">
        <v>7</v>
      </c>
      <c r="L215" s="4">
        <v>19</v>
      </c>
      <c r="M215" s="4">
        <v>27</v>
      </c>
      <c r="N215" s="4">
        <v>14</v>
      </c>
      <c r="O215" s="4">
        <v>5</v>
      </c>
      <c r="P215" s="4">
        <v>10</v>
      </c>
      <c r="Q215" s="4">
        <v>30</v>
      </c>
      <c r="R215" s="4">
        <v>15</v>
      </c>
      <c r="S215" s="4">
        <v>16</v>
      </c>
      <c r="T215" s="4">
        <v>29</v>
      </c>
      <c r="U215" s="4">
        <v>8</v>
      </c>
      <c r="V215" s="4">
        <v>24</v>
      </c>
      <c r="W215" s="4">
        <v>9</v>
      </c>
      <c r="X215" s="4">
        <v>17</v>
      </c>
      <c r="Y215" s="4">
        <v>28</v>
      </c>
      <c r="Z215" s="4">
        <v>20</v>
      </c>
      <c r="AA215" s="4">
        <v>22</v>
      </c>
      <c r="AB215" s="4">
        <v>13</v>
      </c>
      <c r="AC215" s="4">
        <v>18</v>
      </c>
      <c r="AD215" s="4">
        <v>32</v>
      </c>
      <c r="AE215" s="4">
        <v>6</v>
      </c>
      <c r="AF215" s="4">
        <v>23</v>
      </c>
      <c r="AG215" s="4">
        <v>12</v>
      </c>
      <c r="AH215" s="4">
        <v>21</v>
      </c>
      <c r="AI215" s="4">
        <v>31</v>
      </c>
      <c r="AJ215" s="4">
        <v>26</v>
      </c>
      <c r="AK215" s="4">
        <v>0</v>
      </c>
      <c r="AL215" s="4">
        <v>0</v>
      </c>
    </row>
    <row r="216" spans="5:38" ht="16.149999999999999" thickBot="1" x14ac:dyDescent="0.55000000000000004">
      <c r="E216" s="101"/>
      <c r="F216" s="99"/>
      <c r="G216" s="4">
        <v>3</v>
      </c>
      <c r="H216" s="4">
        <v>2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4">
        <v>0</v>
      </c>
    </row>
    <row r="217" spans="5:38" x14ac:dyDescent="0.5">
      <c r="E217" s="100">
        <v>3</v>
      </c>
      <c r="F217" s="98" t="s">
        <v>13</v>
      </c>
      <c r="G217" s="4">
        <v>1</v>
      </c>
      <c r="H217" s="4">
        <v>11</v>
      </c>
      <c r="I217" s="4">
        <v>25</v>
      </c>
      <c r="J217" s="4">
        <v>7</v>
      </c>
      <c r="K217" s="4">
        <v>19</v>
      </c>
      <c r="L217" s="4">
        <v>27</v>
      </c>
      <c r="M217" s="4">
        <v>14</v>
      </c>
      <c r="N217" s="4">
        <v>5</v>
      </c>
      <c r="O217" s="4">
        <v>10</v>
      </c>
      <c r="P217" s="4">
        <v>30</v>
      </c>
      <c r="Q217" s="4">
        <v>15</v>
      </c>
      <c r="R217" s="4">
        <v>16</v>
      </c>
      <c r="S217" s="4">
        <v>29</v>
      </c>
      <c r="T217" s="4">
        <v>8</v>
      </c>
      <c r="U217" s="4">
        <v>24</v>
      </c>
      <c r="V217" s="4">
        <v>9</v>
      </c>
      <c r="W217" s="4">
        <v>17</v>
      </c>
      <c r="X217" s="4">
        <v>28</v>
      </c>
      <c r="Y217" s="4">
        <v>20</v>
      </c>
      <c r="Z217" s="4">
        <v>22</v>
      </c>
      <c r="AA217" s="4">
        <v>13</v>
      </c>
      <c r="AB217" s="4">
        <v>18</v>
      </c>
      <c r="AC217" s="4">
        <v>32</v>
      </c>
      <c r="AD217" s="4">
        <v>6</v>
      </c>
      <c r="AE217" s="4">
        <v>23</v>
      </c>
      <c r="AF217" s="4">
        <v>12</v>
      </c>
      <c r="AG217" s="4">
        <v>21</v>
      </c>
      <c r="AH217" s="4">
        <v>31</v>
      </c>
      <c r="AI217" s="4">
        <v>26</v>
      </c>
      <c r="AJ217" s="4">
        <v>0</v>
      </c>
      <c r="AK217" s="4">
        <v>0</v>
      </c>
      <c r="AL217" s="4">
        <v>0</v>
      </c>
    </row>
    <row r="218" spans="5:38" ht="16.149999999999999" thickBot="1" x14ac:dyDescent="0.55000000000000004">
      <c r="E218" s="101"/>
      <c r="F218" s="99"/>
      <c r="G218" s="4">
        <v>4</v>
      </c>
      <c r="H218" s="4">
        <v>3</v>
      </c>
      <c r="I218" s="4">
        <v>2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4">
        <v>0</v>
      </c>
    </row>
    <row r="219" spans="5:38" x14ac:dyDescent="0.5">
      <c r="E219" s="100">
        <v>4</v>
      </c>
      <c r="F219" s="98" t="s">
        <v>13</v>
      </c>
      <c r="G219" s="4">
        <v>11</v>
      </c>
      <c r="H219" s="4">
        <v>25</v>
      </c>
      <c r="I219" s="4">
        <v>7</v>
      </c>
      <c r="J219" s="4">
        <v>19</v>
      </c>
      <c r="K219" s="4">
        <v>27</v>
      </c>
      <c r="L219" s="4">
        <v>14</v>
      </c>
      <c r="M219" s="4">
        <v>5</v>
      </c>
      <c r="N219" s="4">
        <v>10</v>
      </c>
      <c r="O219" s="4">
        <v>30</v>
      </c>
      <c r="P219" s="4">
        <v>15</v>
      </c>
      <c r="Q219" s="4">
        <v>16</v>
      </c>
      <c r="R219" s="4">
        <v>29</v>
      </c>
      <c r="S219" s="4">
        <v>8</v>
      </c>
      <c r="T219" s="4">
        <v>24</v>
      </c>
      <c r="U219" s="4">
        <v>9</v>
      </c>
      <c r="V219" s="4">
        <v>17</v>
      </c>
      <c r="W219" s="4">
        <v>28</v>
      </c>
      <c r="X219" s="4">
        <v>20</v>
      </c>
      <c r="Y219" s="4">
        <v>22</v>
      </c>
      <c r="Z219" s="4">
        <v>13</v>
      </c>
      <c r="AA219" s="4">
        <v>18</v>
      </c>
      <c r="AB219" s="4">
        <v>32</v>
      </c>
      <c r="AC219" s="4">
        <v>6</v>
      </c>
      <c r="AD219" s="4">
        <v>23</v>
      </c>
      <c r="AE219" s="4">
        <v>12</v>
      </c>
      <c r="AF219" s="4">
        <v>21</v>
      </c>
      <c r="AG219" s="4">
        <v>31</v>
      </c>
      <c r="AH219" s="4">
        <v>26</v>
      </c>
      <c r="AI219" s="4">
        <v>0</v>
      </c>
      <c r="AJ219" s="4">
        <v>0</v>
      </c>
      <c r="AK219" s="4">
        <v>0</v>
      </c>
      <c r="AL219" s="4">
        <v>0</v>
      </c>
    </row>
    <row r="220" spans="5:38" ht="16.149999999999999" thickBot="1" x14ac:dyDescent="0.55000000000000004">
      <c r="E220" s="101"/>
      <c r="F220" s="99"/>
      <c r="G220" s="4">
        <v>1</v>
      </c>
      <c r="H220" s="4">
        <v>4</v>
      </c>
      <c r="I220" s="4">
        <v>3</v>
      </c>
      <c r="J220" s="4">
        <v>2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4">
        <v>0</v>
      </c>
    </row>
    <row r="222" spans="5:38" ht="16.149999999999999" thickBot="1" x14ac:dyDescent="0.55000000000000004"/>
    <row r="223" spans="5:38" x14ac:dyDescent="0.5">
      <c r="E223" s="100">
        <v>0</v>
      </c>
      <c r="F223" s="102" t="s">
        <v>11</v>
      </c>
      <c r="G223" s="4">
        <v>2</v>
      </c>
      <c r="H223" s="4">
        <v>4</v>
      </c>
      <c r="I223" s="4">
        <v>3</v>
      </c>
      <c r="J223" s="4">
        <v>1</v>
      </c>
      <c r="K223" s="4">
        <v>11</v>
      </c>
      <c r="L223" s="4">
        <v>25</v>
      </c>
      <c r="M223" s="4">
        <v>7</v>
      </c>
      <c r="N223" s="4">
        <v>19</v>
      </c>
      <c r="O223" s="4">
        <v>27</v>
      </c>
      <c r="P223" s="4">
        <v>14</v>
      </c>
      <c r="Q223" s="4">
        <v>5</v>
      </c>
      <c r="R223" s="4">
        <v>10</v>
      </c>
      <c r="S223" s="4">
        <v>30</v>
      </c>
      <c r="T223" s="4">
        <v>15</v>
      </c>
      <c r="U223" s="4">
        <v>16</v>
      </c>
      <c r="V223" s="4">
        <v>29</v>
      </c>
      <c r="W223" s="4">
        <v>8</v>
      </c>
      <c r="X223" s="4">
        <v>24</v>
      </c>
      <c r="Y223" s="4">
        <v>9</v>
      </c>
      <c r="Z223" s="4">
        <v>17</v>
      </c>
      <c r="AA223" s="4">
        <v>28</v>
      </c>
      <c r="AB223" s="4">
        <v>20</v>
      </c>
      <c r="AC223" s="4">
        <v>22</v>
      </c>
      <c r="AD223" s="4">
        <v>13</v>
      </c>
      <c r="AE223" s="4">
        <v>18</v>
      </c>
      <c r="AF223" s="4">
        <v>32</v>
      </c>
      <c r="AG223" s="4">
        <v>6</v>
      </c>
      <c r="AH223" s="4">
        <v>23</v>
      </c>
      <c r="AI223" s="4">
        <v>12</v>
      </c>
      <c r="AJ223" s="4">
        <v>21</v>
      </c>
      <c r="AK223" s="4">
        <v>31</v>
      </c>
      <c r="AL223" s="4">
        <v>26</v>
      </c>
    </row>
    <row r="224" spans="5:38" ht="16.149999999999999" thickBot="1" x14ac:dyDescent="0.55000000000000004">
      <c r="E224" s="101"/>
      <c r="F224" s="103"/>
      <c r="G224" s="4"/>
      <c r="H224" s="4"/>
      <c r="I224" s="4"/>
      <c r="J224" s="4"/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</row>
    <row r="225" spans="5:38" x14ac:dyDescent="0.5">
      <c r="E225" s="100">
        <v>1</v>
      </c>
      <c r="F225" s="98" t="s">
        <v>13</v>
      </c>
      <c r="G225" s="4">
        <v>4</v>
      </c>
      <c r="H225" s="4">
        <v>3</v>
      </c>
      <c r="I225" s="4">
        <v>1</v>
      </c>
      <c r="J225" s="4">
        <v>11</v>
      </c>
      <c r="K225" s="4">
        <v>25</v>
      </c>
      <c r="L225" s="4">
        <v>7</v>
      </c>
      <c r="M225" s="4">
        <v>19</v>
      </c>
      <c r="N225" s="4">
        <v>27</v>
      </c>
      <c r="O225" s="4">
        <v>14</v>
      </c>
      <c r="P225" s="4">
        <v>5</v>
      </c>
      <c r="Q225" s="4">
        <v>10</v>
      </c>
      <c r="R225" s="4">
        <v>30</v>
      </c>
      <c r="S225" s="4">
        <v>15</v>
      </c>
      <c r="T225" s="4">
        <v>16</v>
      </c>
      <c r="U225" s="4">
        <v>29</v>
      </c>
      <c r="V225" s="4">
        <v>8</v>
      </c>
      <c r="W225" s="4">
        <v>24</v>
      </c>
      <c r="X225" s="4">
        <v>9</v>
      </c>
      <c r="Y225" s="4">
        <v>17</v>
      </c>
      <c r="Z225" s="4">
        <v>28</v>
      </c>
      <c r="AA225" s="4">
        <v>20</v>
      </c>
      <c r="AB225" s="4">
        <v>22</v>
      </c>
      <c r="AC225" s="4">
        <v>13</v>
      </c>
      <c r="AD225" s="4">
        <v>18</v>
      </c>
      <c r="AE225" s="4">
        <v>32</v>
      </c>
      <c r="AF225" s="4">
        <v>6</v>
      </c>
      <c r="AG225" s="4">
        <v>23</v>
      </c>
      <c r="AH225" s="4">
        <v>12</v>
      </c>
      <c r="AI225" s="4">
        <v>21</v>
      </c>
      <c r="AJ225" s="4">
        <v>31</v>
      </c>
      <c r="AK225" s="4">
        <v>26</v>
      </c>
      <c r="AL225" s="4">
        <v>0</v>
      </c>
    </row>
    <row r="226" spans="5:38" ht="16.149999999999999" thickBot="1" x14ac:dyDescent="0.55000000000000004">
      <c r="E226" s="101"/>
      <c r="F226" s="99"/>
      <c r="G226" s="4">
        <v>2</v>
      </c>
      <c r="H226" s="4">
        <v>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4">
        <v>0</v>
      </c>
    </row>
    <row r="227" spans="5:38" x14ac:dyDescent="0.5">
      <c r="E227" s="100">
        <v>2</v>
      </c>
      <c r="F227" s="98" t="s">
        <v>18</v>
      </c>
      <c r="G227" s="4">
        <v>3</v>
      </c>
      <c r="H227" s="4">
        <v>4</v>
      </c>
      <c r="I227" s="4">
        <v>1</v>
      </c>
      <c r="J227" s="4">
        <v>11</v>
      </c>
      <c r="K227" s="4">
        <v>25</v>
      </c>
      <c r="L227" s="4">
        <v>7</v>
      </c>
      <c r="M227" s="4">
        <v>19</v>
      </c>
      <c r="N227" s="4">
        <v>27</v>
      </c>
      <c r="O227" s="4">
        <v>14</v>
      </c>
      <c r="P227" s="4">
        <v>5</v>
      </c>
      <c r="Q227" s="4">
        <v>10</v>
      </c>
      <c r="R227" s="4">
        <v>30</v>
      </c>
      <c r="S227" s="4">
        <v>15</v>
      </c>
      <c r="T227" s="4">
        <v>16</v>
      </c>
      <c r="U227" s="4">
        <v>29</v>
      </c>
      <c r="V227" s="4">
        <v>8</v>
      </c>
      <c r="W227" s="4">
        <v>24</v>
      </c>
      <c r="X227" s="4">
        <v>9</v>
      </c>
      <c r="Y227" s="4">
        <v>17</v>
      </c>
      <c r="Z227" s="4">
        <v>28</v>
      </c>
      <c r="AA227" s="4">
        <v>20</v>
      </c>
      <c r="AB227" s="4">
        <v>22</v>
      </c>
      <c r="AC227" s="4">
        <v>13</v>
      </c>
      <c r="AD227" s="4">
        <v>18</v>
      </c>
      <c r="AE227" s="4">
        <v>32</v>
      </c>
      <c r="AF227" s="4">
        <v>6</v>
      </c>
      <c r="AG227" s="4">
        <v>23</v>
      </c>
      <c r="AH227" s="4">
        <v>12</v>
      </c>
      <c r="AI227" s="4">
        <v>21</v>
      </c>
      <c r="AJ227" s="4">
        <v>31</v>
      </c>
      <c r="AK227" s="4">
        <v>26</v>
      </c>
      <c r="AL227" s="4">
        <v>0</v>
      </c>
    </row>
    <row r="228" spans="5:38" ht="16.149999999999999" thickBot="1" x14ac:dyDescent="0.55000000000000004">
      <c r="E228" s="101"/>
      <c r="F228" s="99"/>
      <c r="G228" s="4">
        <v>2</v>
      </c>
      <c r="H228" s="4">
        <v>0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</row>
    <row r="229" spans="5:38" x14ac:dyDescent="0.5">
      <c r="E229" s="100">
        <v>3</v>
      </c>
      <c r="F229" s="98" t="s">
        <v>13</v>
      </c>
      <c r="G229" s="4">
        <v>4</v>
      </c>
      <c r="H229" s="4">
        <v>1</v>
      </c>
      <c r="I229" s="4">
        <v>11</v>
      </c>
      <c r="J229" s="4">
        <v>25</v>
      </c>
      <c r="K229" s="4">
        <v>7</v>
      </c>
      <c r="L229" s="4">
        <v>19</v>
      </c>
      <c r="M229" s="4">
        <v>27</v>
      </c>
      <c r="N229" s="4">
        <v>14</v>
      </c>
      <c r="O229" s="4">
        <v>5</v>
      </c>
      <c r="P229" s="4">
        <v>10</v>
      </c>
      <c r="Q229" s="4">
        <v>30</v>
      </c>
      <c r="R229" s="4">
        <v>15</v>
      </c>
      <c r="S229" s="4">
        <v>16</v>
      </c>
      <c r="T229" s="4">
        <v>29</v>
      </c>
      <c r="U229" s="4">
        <v>8</v>
      </c>
      <c r="V229" s="4">
        <v>24</v>
      </c>
      <c r="W229" s="4">
        <v>9</v>
      </c>
      <c r="X229" s="4">
        <v>17</v>
      </c>
      <c r="Y229" s="4">
        <v>28</v>
      </c>
      <c r="Z229" s="4">
        <v>20</v>
      </c>
      <c r="AA229" s="4">
        <v>22</v>
      </c>
      <c r="AB229" s="4">
        <v>13</v>
      </c>
      <c r="AC229" s="4">
        <v>18</v>
      </c>
      <c r="AD229" s="4">
        <v>32</v>
      </c>
      <c r="AE229" s="4">
        <v>6</v>
      </c>
      <c r="AF229" s="4">
        <v>23</v>
      </c>
      <c r="AG229" s="4">
        <v>12</v>
      </c>
      <c r="AH229" s="4">
        <v>21</v>
      </c>
      <c r="AI229" s="4">
        <v>31</v>
      </c>
      <c r="AJ229" s="4">
        <v>26</v>
      </c>
      <c r="AK229" s="4">
        <v>0</v>
      </c>
      <c r="AL229" s="4">
        <v>0</v>
      </c>
    </row>
    <row r="230" spans="5:38" ht="16.149999999999999" thickBot="1" x14ac:dyDescent="0.55000000000000004">
      <c r="E230" s="101"/>
      <c r="F230" s="99"/>
      <c r="G230" s="4">
        <v>3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</row>
    <row r="231" spans="5:38" x14ac:dyDescent="0.5">
      <c r="E231" s="100">
        <v>4</v>
      </c>
      <c r="F231" s="98" t="s">
        <v>13</v>
      </c>
      <c r="G231" s="4">
        <v>1</v>
      </c>
      <c r="H231" s="4">
        <v>11</v>
      </c>
      <c r="I231" s="4">
        <v>25</v>
      </c>
      <c r="J231" s="4">
        <v>7</v>
      </c>
      <c r="K231" s="4">
        <v>19</v>
      </c>
      <c r="L231" s="4">
        <v>27</v>
      </c>
      <c r="M231" s="4">
        <v>14</v>
      </c>
      <c r="N231" s="4">
        <v>5</v>
      </c>
      <c r="O231" s="4">
        <v>10</v>
      </c>
      <c r="P231" s="4">
        <v>30</v>
      </c>
      <c r="Q231" s="4">
        <v>15</v>
      </c>
      <c r="R231" s="4">
        <v>16</v>
      </c>
      <c r="S231" s="4">
        <v>29</v>
      </c>
      <c r="T231" s="4">
        <v>8</v>
      </c>
      <c r="U231" s="4">
        <v>24</v>
      </c>
      <c r="V231" s="4">
        <v>9</v>
      </c>
      <c r="W231" s="4">
        <v>17</v>
      </c>
      <c r="X231" s="4">
        <v>28</v>
      </c>
      <c r="Y231" s="4">
        <v>20</v>
      </c>
      <c r="Z231" s="4">
        <v>22</v>
      </c>
      <c r="AA231" s="4">
        <v>13</v>
      </c>
      <c r="AB231" s="4">
        <v>18</v>
      </c>
      <c r="AC231" s="4">
        <v>32</v>
      </c>
      <c r="AD231" s="4">
        <v>6</v>
      </c>
      <c r="AE231" s="4">
        <v>23</v>
      </c>
      <c r="AF231" s="4">
        <v>12</v>
      </c>
      <c r="AG231" s="4">
        <v>21</v>
      </c>
      <c r="AH231" s="4">
        <v>31</v>
      </c>
      <c r="AI231" s="4">
        <v>26</v>
      </c>
      <c r="AJ231" s="4">
        <v>0</v>
      </c>
      <c r="AK231" s="4">
        <v>0</v>
      </c>
      <c r="AL231" s="4">
        <v>0</v>
      </c>
    </row>
    <row r="232" spans="5:38" ht="16.149999999999999" thickBot="1" x14ac:dyDescent="0.55000000000000004">
      <c r="E232" s="101"/>
      <c r="F232" s="99"/>
      <c r="G232" s="4">
        <v>4</v>
      </c>
      <c r="H232" s="4">
        <v>3</v>
      </c>
      <c r="I232" s="4">
        <v>2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0</v>
      </c>
      <c r="AL232" s="4">
        <v>0</v>
      </c>
    </row>
    <row r="233" spans="5:38" x14ac:dyDescent="0.5">
      <c r="E233" s="100">
        <v>5</v>
      </c>
      <c r="F233" s="98" t="s">
        <v>13</v>
      </c>
      <c r="G233" s="4">
        <v>11</v>
      </c>
      <c r="H233" s="4">
        <v>25</v>
      </c>
      <c r="I233" s="4">
        <v>7</v>
      </c>
      <c r="J233" s="4">
        <v>19</v>
      </c>
      <c r="K233" s="4">
        <v>27</v>
      </c>
      <c r="L233" s="4">
        <v>14</v>
      </c>
      <c r="M233" s="4">
        <v>5</v>
      </c>
      <c r="N233" s="4">
        <v>10</v>
      </c>
      <c r="O233" s="4">
        <v>30</v>
      </c>
      <c r="P233" s="4">
        <v>15</v>
      </c>
      <c r="Q233" s="4">
        <v>16</v>
      </c>
      <c r="R233" s="4">
        <v>29</v>
      </c>
      <c r="S233" s="4">
        <v>8</v>
      </c>
      <c r="T233" s="4">
        <v>24</v>
      </c>
      <c r="U233" s="4">
        <v>9</v>
      </c>
      <c r="V233" s="4">
        <v>17</v>
      </c>
      <c r="W233" s="4">
        <v>28</v>
      </c>
      <c r="X233" s="4">
        <v>20</v>
      </c>
      <c r="Y233" s="4">
        <v>22</v>
      </c>
      <c r="Z233" s="4">
        <v>13</v>
      </c>
      <c r="AA233" s="4">
        <v>18</v>
      </c>
      <c r="AB233" s="4">
        <v>32</v>
      </c>
      <c r="AC233" s="4">
        <v>6</v>
      </c>
      <c r="AD233" s="4">
        <v>23</v>
      </c>
      <c r="AE233" s="4">
        <v>12</v>
      </c>
      <c r="AF233" s="4">
        <v>21</v>
      </c>
      <c r="AG233" s="4">
        <v>31</v>
      </c>
      <c r="AH233" s="4">
        <v>26</v>
      </c>
      <c r="AI233" s="4">
        <v>0</v>
      </c>
      <c r="AJ233" s="4">
        <v>0</v>
      </c>
      <c r="AK233" s="4">
        <v>0</v>
      </c>
      <c r="AL233" s="4">
        <v>0</v>
      </c>
    </row>
    <row r="234" spans="5:38" ht="16.149999999999999" thickBot="1" x14ac:dyDescent="0.55000000000000004">
      <c r="E234" s="101"/>
      <c r="F234" s="99"/>
      <c r="G234" s="4">
        <v>1</v>
      </c>
      <c r="H234" s="4">
        <v>4</v>
      </c>
      <c r="I234" s="4">
        <v>3</v>
      </c>
      <c r="J234" s="4">
        <v>2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</row>
    <row r="236" spans="5:38" ht="16.149999999999999" thickBot="1" x14ac:dyDescent="0.55000000000000004"/>
    <row r="237" spans="5:38" x14ac:dyDescent="0.5">
      <c r="E237" s="100">
        <v>0</v>
      </c>
      <c r="F237" s="102" t="s">
        <v>11</v>
      </c>
      <c r="G237" s="4">
        <v>3</v>
      </c>
      <c r="H237" s="4">
        <v>1</v>
      </c>
      <c r="I237" s="4">
        <v>2</v>
      </c>
      <c r="J237" s="4">
        <v>4</v>
      </c>
      <c r="K237" s="4">
        <v>11</v>
      </c>
      <c r="L237" s="4">
        <v>25</v>
      </c>
      <c r="M237" s="4">
        <v>7</v>
      </c>
      <c r="N237" s="4">
        <v>19</v>
      </c>
      <c r="O237" s="4">
        <v>27</v>
      </c>
      <c r="P237" s="4">
        <v>14</v>
      </c>
      <c r="Q237" s="4">
        <v>5</v>
      </c>
      <c r="R237" s="4">
        <v>10</v>
      </c>
      <c r="S237" s="4">
        <v>30</v>
      </c>
      <c r="T237" s="4">
        <v>15</v>
      </c>
      <c r="U237" s="4">
        <v>16</v>
      </c>
      <c r="V237" s="4">
        <v>29</v>
      </c>
      <c r="W237" s="4">
        <v>8</v>
      </c>
      <c r="X237" s="4">
        <v>24</v>
      </c>
      <c r="Y237" s="4">
        <v>9</v>
      </c>
      <c r="Z237" s="4">
        <v>17</v>
      </c>
      <c r="AA237" s="4">
        <v>28</v>
      </c>
      <c r="AB237" s="4">
        <v>20</v>
      </c>
      <c r="AC237" s="4">
        <v>22</v>
      </c>
      <c r="AD237" s="4">
        <v>13</v>
      </c>
      <c r="AE237" s="4">
        <v>18</v>
      </c>
      <c r="AF237" s="4">
        <v>32</v>
      </c>
      <c r="AG237" s="4">
        <v>6</v>
      </c>
      <c r="AH237" s="4">
        <v>23</v>
      </c>
      <c r="AI237" s="4">
        <v>12</v>
      </c>
      <c r="AJ237" s="4">
        <v>21</v>
      </c>
      <c r="AK237" s="4">
        <v>31</v>
      </c>
      <c r="AL237" s="4">
        <v>26</v>
      </c>
    </row>
    <row r="238" spans="5:38" ht="16.149999999999999" thickBot="1" x14ac:dyDescent="0.55000000000000004">
      <c r="E238" s="101"/>
      <c r="F238" s="103"/>
      <c r="G238" s="4"/>
      <c r="H238" s="4"/>
      <c r="I238" s="4"/>
      <c r="J238" s="4"/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</row>
    <row r="239" spans="5:38" x14ac:dyDescent="0.5">
      <c r="E239" s="100">
        <v>1</v>
      </c>
      <c r="F239" s="98" t="s">
        <v>13</v>
      </c>
      <c r="G239" s="4">
        <v>1</v>
      </c>
      <c r="H239" s="4">
        <v>2</v>
      </c>
      <c r="I239" s="4">
        <v>4</v>
      </c>
      <c r="J239" s="4">
        <v>11</v>
      </c>
      <c r="K239" s="4">
        <v>25</v>
      </c>
      <c r="L239" s="4">
        <v>7</v>
      </c>
      <c r="M239" s="4">
        <v>19</v>
      </c>
      <c r="N239" s="4">
        <v>27</v>
      </c>
      <c r="O239" s="4">
        <v>14</v>
      </c>
      <c r="P239" s="4">
        <v>5</v>
      </c>
      <c r="Q239" s="4">
        <v>10</v>
      </c>
      <c r="R239" s="4">
        <v>30</v>
      </c>
      <c r="S239" s="4">
        <v>15</v>
      </c>
      <c r="T239" s="4">
        <v>16</v>
      </c>
      <c r="U239" s="4">
        <v>29</v>
      </c>
      <c r="V239" s="4">
        <v>8</v>
      </c>
      <c r="W239" s="4">
        <v>24</v>
      </c>
      <c r="X239" s="4">
        <v>9</v>
      </c>
      <c r="Y239" s="4">
        <v>17</v>
      </c>
      <c r="Z239" s="4">
        <v>28</v>
      </c>
      <c r="AA239" s="4">
        <v>20</v>
      </c>
      <c r="AB239" s="4">
        <v>22</v>
      </c>
      <c r="AC239" s="4">
        <v>13</v>
      </c>
      <c r="AD239" s="4">
        <v>18</v>
      </c>
      <c r="AE239" s="4">
        <v>32</v>
      </c>
      <c r="AF239" s="4">
        <v>6</v>
      </c>
      <c r="AG239" s="4">
        <v>23</v>
      </c>
      <c r="AH239" s="4">
        <v>12</v>
      </c>
      <c r="AI239" s="4">
        <v>21</v>
      </c>
      <c r="AJ239" s="4">
        <v>31</v>
      </c>
      <c r="AK239" s="4">
        <v>26</v>
      </c>
      <c r="AL239" s="4">
        <v>0</v>
      </c>
    </row>
    <row r="240" spans="5:38" ht="16.149999999999999" thickBot="1" x14ac:dyDescent="0.55000000000000004">
      <c r="E240" s="101"/>
      <c r="F240" s="99"/>
      <c r="G240" s="4">
        <v>3</v>
      </c>
      <c r="H240" s="4">
        <v>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</row>
    <row r="241" spans="5:38" x14ac:dyDescent="0.5">
      <c r="E241" s="100">
        <v>2</v>
      </c>
      <c r="F241" s="98" t="s">
        <v>13</v>
      </c>
      <c r="G241" s="4">
        <v>2</v>
      </c>
      <c r="H241" s="4">
        <v>4</v>
      </c>
      <c r="I241" s="4">
        <v>11</v>
      </c>
      <c r="J241" s="4">
        <v>25</v>
      </c>
      <c r="K241" s="4">
        <v>7</v>
      </c>
      <c r="L241" s="4">
        <v>19</v>
      </c>
      <c r="M241" s="4">
        <v>27</v>
      </c>
      <c r="N241" s="4">
        <v>14</v>
      </c>
      <c r="O241" s="4">
        <v>5</v>
      </c>
      <c r="P241" s="4">
        <v>10</v>
      </c>
      <c r="Q241" s="4">
        <v>30</v>
      </c>
      <c r="R241" s="4">
        <v>15</v>
      </c>
      <c r="S241" s="4">
        <v>16</v>
      </c>
      <c r="T241" s="4">
        <v>29</v>
      </c>
      <c r="U241" s="4">
        <v>8</v>
      </c>
      <c r="V241" s="4">
        <v>24</v>
      </c>
      <c r="W241" s="4">
        <v>9</v>
      </c>
      <c r="X241" s="4">
        <v>17</v>
      </c>
      <c r="Y241" s="4">
        <v>28</v>
      </c>
      <c r="Z241" s="4">
        <v>20</v>
      </c>
      <c r="AA241" s="4">
        <v>22</v>
      </c>
      <c r="AB241" s="4">
        <v>13</v>
      </c>
      <c r="AC241" s="4">
        <v>18</v>
      </c>
      <c r="AD241" s="4">
        <v>32</v>
      </c>
      <c r="AE241" s="4">
        <v>6</v>
      </c>
      <c r="AF241" s="4">
        <v>23</v>
      </c>
      <c r="AG241" s="4">
        <v>12</v>
      </c>
      <c r="AH241" s="4">
        <v>21</v>
      </c>
      <c r="AI241" s="4">
        <v>31</v>
      </c>
      <c r="AJ241" s="4">
        <v>26</v>
      </c>
      <c r="AK241" s="4">
        <v>0</v>
      </c>
      <c r="AL241" s="4">
        <v>0</v>
      </c>
    </row>
    <row r="242" spans="5:38" ht="16.149999999999999" thickBot="1" x14ac:dyDescent="0.55000000000000004">
      <c r="E242" s="101"/>
      <c r="F242" s="99"/>
      <c r="G242" s="4">
        <v>1</v>
      </c>
      <c r="H242" s="4">
        <v>3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4">
        <v>0</v>
      </c>
    </row>
    <row r="243" spans="5:38" x14ac:dyDescent="0.5">
      <c r="E243" s="100">
        <v>3</v>
      </c>
      <c r="F243" s="98" t="s">
        <v>13</v>
      </c>
      <c r="G243" s="4">
        <v>4</v>
      </c>
      <c r="H243" s="4">
        <v>11</v>
      </c>
      <c r="I243" s="4">
        <v>25</v>
      </c>
      <c r="J243" s="4">
        <v>7</v>
      </c>
      <c r="K243" s="4">
        <v>19</v>
      </c>
      <c r="L243" s="4">
        <v>27</v>
      </c>
      <c r="M243" s="4">
        <v>14</v>
      </c>
      <c r="N243" s="4">
        <v>5</v>
      </c>
      <c r="O243" s="4">
        <v>10</v>
      </c>
      <c r="P243" s="4">
        <v>30</v>
      </c>
      <c r="Q243" s="4">
        <v>15</v>
      </c>
      <c r="R243" s="4">
        <v>16</v>
      </c>
      <c r="S243" s="4">
        <v>29</v>
      </c>
      <c r="T243" s="4">
        <v>8</v>
      </c>
      <c r="U243" s="4">
        <v>24</v>
      </c>
      <c r="V243" s="4">
        <v>9</v>
      </c>
      <c r="W243" s="4">
        <v>17</v>
      </c>
      <c r="X243" s="4">
        <v>28</v>
      </c>
      <c r="Y243" s="4">
        <v>20</v>
      </c>
      <c r="Z243" s="4">
        <v>22</v>
      </c>
      <c r="AA243" s="4">
        <v>13</v>
      </c>
      <c r="AB243" s="4">
        <v>18</v>
      </c>
      <c r="AC243" s="4">
        <v>32</v>
      </c>
      <c r="AD243" s="4">
        <v>6</v>
      </c>
      <c r="AE243" s="4">
        <v>23</v>
      </c>
      <c r="AF243" s="4">
        <v>12</v>
      </c>
      <c r="AG243" s="4">
        <v>21</v>
      </c>
      <c r="AH243" s="4">
        <v>31</v>
      </c>
      <c r="AI243" s="4">
        <v>26</v>
      </c>
      <c r="AJ243" s="4">
        <v>0</v>
      </c>
      <c r="AK243" s="4">
        <v>0</v>
      </c>
      <c r="AL243" s="4">
        <v>0</v>
      </c>
    </row>
    <row r="244" spans="5:38" ht="16.149999999999999" thickBot="1" x14ac:dyDescent="0.55000000000000004">
      <c r="E244" s="101"/>
      <c r="F244" s="99"/>
      <c r="G244" s="4">
        <v>2</v>
      </c>
      <c r="H244" s="4">
        <v>1</v>
      </c>
      <c r="I244" s="4">
        <v>3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4">
        <v>0</v>
      </c>
    </row>
    <row r="245" spans="5:38" x14ac:dyDescent="0.5">
      <c r="E245" s="100">
        <v>4</v>
      </c>
      <c r="F245" s="98" t="s">
        <v>16</v>
      </c>
      <c r="G245" s="4">
        <v>4</v>
      </c>
      <c r="H245" s="4">
        <v>11</v>
      </c>
      <c r="I245" s="4">
        <v>25</v>
      </c>
      <c r="J245" s="4">
        <v>7</v>
      </c>
      <c r="K245" s="4">
        <v>19</v>
      </c>
      <c r="L245" s="4">
        <v>27</v>
      </c>
      <c r="M245" s="4">
        <v>14</v>
      </c>
      <c r="N245" s="4">
        <v>5</v>
      </c>
      <c r="O245" s="4">
        <v>10</v>
      </c>
      <c r="P245" s="4">
        <v>30</v>
      </c>
      <c r="Q245" s="4">
        <v>15</v>
      </c>
      <c r="R245" s="4">
        <v>16</v>
      </c>
      <c r="S245" s="4">
        <v>29</v>
      </c>
      <c r="T245" s="4">
        <v>8</v>
      </c>
      <c r="U245" s="4">
        <v>24</v>
      </c>
      <c r="V245" s="4">
        <v>9</v>
      </c>
      <c r="W245" s="4">
        <v>17</v>
      </c>
      <c r="X245" s="4">
        <v>28</v>
      </c>
      <c r="Y245" s="4">
        <v>20</v>
      </c>
      <c r="Z245" s="4">
        <v>22</v>
      </c>
      <c r="AA245" s="4">
        <v>13</v>
      </c>
      <c r="AB245" s="4">
        <v>18</v>
      </c>
      <c r="AC245" s="4">
        <v>32</v>
      </c>
      <c r="AD245" s="4">
        <v>6</v>
      </c>
      <c r="AE245" s="4">
        <v>23</v>
      </c>
      <c r="AF245" s="4">
        <v>12</v>
      </c>
      <c r="AG245" s="4">
        <v>21</v>
      </c>
      <c r="AH245" s="4">
        <v>31</v>
      </c>
      <c r="AI245" s="4">
        <v>26</v>
      </c>
      <c r="AJ245" s="4">
        <v>0</v>
      </c>
      <c r="AK245" s="4">
        <v>0</v>
      </c>
      <c r="AL245" s="4">
        <v>0</v>
      </c>
    </row>
    <row r="246" spans="5:38" ht="16.149999999999999" thickBot="1" x14ac:dyDescent="0.55000000000000004">
      <c r="E246" s="101"/>
      <c r="F246" s="99"/>
      <c r="G246" s="4">
        <v>3</v>
      </c>
      <c r="H246" s="4">
        <v>2</v>
      </c>
      <c r="I246" s="4">
        <v>1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4">
        <v>0</v>
      </c>
    </row>
    <row r="247" spans="5:38" x14ac:dyDescent="0.5">
      <c r="E247" s="100">
        <v>5</v>
      </c>
      <c r="F247" s="98" t="s">
        <v>13</v>
      </c>
      <c r="G247" s="4">
        <v>11</v>
      </c>
      <c r="H247" s="4">
        <v>25</v>
      </c>
      <c r="I247" s="4">
        <v>7</v>
      </c>
      <c r="J247" s="4">
        <v>19</v>
      </c>
      <c r="K247" s="4">
        <v>27</v>
      </c>
      <c r="L247" s="4">
        <v>14</v>
      </c>
      <c r="M247" s="4">
        <v>5</v>
      </c>
      <c r="N247" s="4">
        <v>10</v>
      </c>
      <c r="O247" s="4">
        <v>30</v>
      </c>
      <c r="P247" s="4">
        <v>15</v>
      </c>
      <c r="Q247" s="4">
        <v>16</v>
      </c>
      <c r="R247" s="4">
        <v>29</v>
      </c>
      <c r="S247" s="4">
        <v>8</v>
      </c>
      <c r="T247" s="4">
        <v>24</v>
      </c>
      <c r="U247" s="4">
        <v>9</v>
      </c>
      <c r="V247" s="4">
        <v>17</v>
      </c>
      <c r="W247" s="4">
        <v>28</v>
      </c>
      <c r="X247" s="4">
        <v>20</v>
      </c>
      <c r="Y247" s="4">
        <v>22</v>
      </c>
      <c r="Z247" s="4">
        <v>13</v>
      </c>
      <c r="AA247" s="4">
        <v>18</v>
      </c>
      <c r="AB247" s="4">
        <v>32</v>
      </c>
      <c r="AC247" s="4">
        <v>6</v>
      </c>
      <c r="AD247" s="4">
        <v>23</v>
      </c>
      <c r="AE247" s="4">
        <v>12</v>
      </c>
      <c r="AF247" s="4">
        <v>21</v>
      </c>
      <c r="AG247" s="4">
        <v>31</v>
      </c>
      <c r="AH247" s="4">
        <v>26</v>
      </c>
      <c r="AI247" s="4">
        <v>0</v>
      </c>
      <c r="AJ247" s="4">
        <v>0</v>
      </c>
      <c r="AK247" s="4">
        <v>0</v>
      </c>
      <c r="AL247" s="4">
        <v>0</v>
      </c>
    </row>
    <row r="248" spans="5:38" ht="16.149999999999999" thickBot="1" x14ac:dyDescent="0.55000000000000004">
      <c r="E248" s="101"/>
      <c r="F248" s="99"/>
      <c r="G248" s="4">
        <v>4</v>
      </c>
      <c r="H248" s="4">
        <v>3</v>
      </c>
      <c r="I248" s="4">
        <v>2</v>
      </c>
      <c r="J248" s="4">
        <v>1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4">
        <v>0</v>
      </c>
    </row>
    <row r="250" spans="5:38" ht="16.149999999999999" thickBot="1" x14ac:dyDescent="0.55000000000000004"/>
    <row r="251" spans="5:38" x14ac:dyDescent="0.5">
      <c r="E251" s="100">
        <v>0</v>
      </c>
      <c r="F251" s="102" t="s">
        <v>11</v>
      </c>
      <c r="G251" s="4">
        <v>3</v>
      </c>
      <c r="H251" s="4">
        <v>1</v>
      </c>
      <c r="I251" s="4">
        <v>4</v>
      </c>
      <c r="J251" s="4">
        <v>2</v>
      </c>
      <c r="K251" s="4">
        <v>11</v>
      </c>
      <c r="L251" s="4">
        <v>25</v>
      </c>
      <c r="M251" s="4">
        <v>7</v>
      </c>
      <c r="N251" s="4">
        <v>19</v>
      </c>
      <c r="O251" s="4">
        <v>27</v>
      </c>
      <c r="P251" s="4">
        <v>14</v>
      </c>
      <c r="Q251" s="4">
        <v>5</v>
      </c>
      <c r="R251" s="4">
        <v>10</v>
      </c>
      <c r="S251" s="4">
        <v>30</v>
      </c>
      <c r="T251" s="4">
        <v>15</v>
      </c>
      <c r="U251" s="4">
        <v>16</v>
      </c>
      <c r="V251" s="4">
        <v>29</v>
      </c>
      <c r="W251" s="4">
        <v>8</v>
      </c>
      <c r="X251" s="4">
        <v>24</v>
      </c>
      <c r="Y251" s="4">
        <v>9</v>
      </c>
      <c r="Z251" s="4">
        <v>17</v>
      </c>
      <c r="AA251" s="4">
        <v>28</v>
      </c>
      <c r="AB251" s="4">
        <v>20</v>
      </c>
      <c r="AC251" s="4">
        <v>22</v>
      </c>
      <c r="AD251" s="4">
        <v>13</v>
      </c>
      <c r="AE251" s="4">
        <v>18</v>
      </c>
      <c r="AF251" s="4">
        <v>32</v>
      </c>
      <c r="AG251" s="4">
        <v>6</v>
      </c>
      <c r="AH251" s="4">
        <v>23</v>
      </c>
      <c r="AI251" s="4">
        <v>12</v>
      </c>
      <c r="AJ251" s="4">
        <v>21</v>
      </c>
      <c r="AK251" s="4">
        <v>31</v>
      </c>
      <c r="AL251" s="4">
        <v>26</v>
      </c>
    </row>
    <row r="252" spans="5:38" ht="16.149999999999999" thickBot="1" x14ac:dyDescent="0.55000000000000004">
      <c r="E252" s="101"/>
      <c r="F252" s="103"/>
      <c r="G252" s="4"/>
      <c r="H252" s="4"/>
      <c r="I252" s="4"/>
      <c r="J252" s="4"/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0</v>
      </c>
      <c r="AL252" s="4">
        <v>0</v>
      </c>
    </row>
    <row r="253" spans="5:38" x14ac:dyDescent="0.5">
      <c r="E253" s="100">
        <v>1</v>
      </c>
      <c r="F253" s="98" t="s">
        <v>13</v>
      </c>
      <c r="G253" s="4">
        <v>1</v>
      </c>
      <c r="H253" s="4">
        <v>4</v>
      </c>
      <c r="I253" s="4">
        <v>2</v>
      </c>
      <c r="J253" s="4">
        <v>11</v>
      </c>
      <c r="K253" s="4">
        <v>25</v>
      </c>
      <c r="L253" s="4">
        <v>7</v>
      </c>
      <c r="M253" s="4">
        <v>19</v>
      </c>
      <c r="N253" s="4">
        <v>27</v>
      </c>
      <c r="O253" s="4">
        <v>14</v>
      </c>
      <c r="P253" s="4">
        <v>5</v>
      </c>
      <c r="Q253" s="4">
        <v>10</v>
      </c>
      <c r="R253" s="4">
        <v>30</v>
      </c>
      <c r="S253" s="4">
        <v>15</v>
      </c>
      <c r="T253" s="4">
        <v>16</v>
      </c>
      <c r="U253" s="4">
        <v>29</v>
      </c>
      <c r="V253" s="4">
        <v>8</v>
      </c>
      <c r="W253" s="4">
        <v>24</v>
      </c>
      <c r="X253" s="4">
        <v>9</v>
      </c>
      <c r="Y253" s="4">
        <v>17</v>
      </c>
      <c r="Z253" s="4">
        <v>28</v>
      </c>
      <c r="AA253" s="4">
        <v>20</v>
      </c>
      <c r="AB253" s="4">
        <v>22</v>
      </c>
      <c r="AC253" s="4">
        <v>13</v>
      </c>
      <c r="AD253" s="4">
        <v>18</v>
      </c>
      <c r="AE253" s="4">
        <v>32</v>
      </c>
      <c r="AF253" s="4">
        <v>6</v>
      </c>
      <c r="AG253" s="4">
        <v>23</v>
      </c>
      <c r="AH253" s="4">
        <v>12</v>
      </c>
      <c r="AI253" s="4">
        <v>21</v>
      </c>
      <c r="AJ253" s="4">
        <v>31</v>
      </c>
      <c r="AK253" s="4">
        <v>26</v>
      </c>
      <c r="AL253" s="4">
        <v>0</v>
      </c>
    </row>
    <row r="254" spans="5:38" ht="16.149999999999999" thickBot="1" x14ac:dyDescent="0.55000000000000004">
      <c r="E254" s="101"/>
      <c r="F254" s="99"/>
      <c r="G254" s="4">
        <v>3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0</v>
      </c>
      <c r="AL254" s="4">
        <v>0</v>
      </c>
    </row>
    <row r="255" spans="5:38" x14ac:dyDescent="0.5">
      <c r="E255" s="100">
        <v>2</v>
      </c>
      <c r="F255" s="98" t="s">
        <v>18</v>
      </c>
      <c r="G255" s="4">
        <v>4</v>
      </c>
      <c r="H255" s="4">
        <v>1</v>
      </c>
      <c r="I255" s="4">
        <v>2</v>
      </c>
      <c r="J255" s="4">
        <v>11</v>
      </c>
      <c r="K255" s="4">
        <v>25</v>
      </c>
      <c r="L255" s="4">
        <v>7</v>
      </c>
      <c r="M255" s="4">
        <v>19</v>
      </c>
      <c r="N255" s="4">
        <v>27</v>
      </c>
      <c r="O255" s="4">
        <v>14</v>
      </c>
      <c r="P255" s="4">
        <v>5</v>
      </c>
      <c r="Q255" s="4">
        <v>10</v>
      </c>
      <c r="R255" s="4">
        <v>30</v>
      </c>
      <c r="S255" s="4">
        <v>15</v>
      </c>
      <c r="T255" s="4">
        <v>16</v>
      </c>
      <c r="U255" s="4">
        <v>29</v>
      </c>
      <c r="V255" s="4">
        <v>8</v>
      </c>
      <c r="W255" s="4">
        <v>24</v>
      </c>
      <c r="X255" s="4">
        <v>9</v>
      </c>
      <c r="Y255" s="4">
        <v>17</v>
      </c>
      <c r="Z255" s="4">
        <v>28</v>
      </c>
      <c r="AA255" s="4">
        <v>20</v>
      </c>
      <c r="AB255" s="4">
        <v>22</v>
      </c>
      <c r="AC255" s="4">
        <v>13</v>
      </c>
      <c r="AD255" s="4">
        <v>18</v>
      </c>
      <c r="AE255" s="4">
        <v>32</v>
      </c>
      <c r="AF255" s="4">
        <v>6</v>
      </c>
      <c r="AG255" s="4">
        <v>23</v>
      </c>
      <c r="AH255" s="4">
        <v>12</v>
      </c>
      <c r="AI255" s="4">
        <v>21</v>
      </c>
      <c r="AJ255" s="4">
        <v>31</v>
      </c>
      <c r="AK255" s="4">
        <v>26</v>
      </c>
      <c r="AL255" s="4">
        <v>0</v>
      </c>
    </row>
    <row r="256" spans="5:38" ht="16.149999999999999" thickBot="1" x14ac:dyDescent="0.55000000000000004">
      <c r="E256" s="101"/>
      <c r="F256" s="99"/>
      <c r="G256" s="4">
        <v>3</v>
      </c>
      <c r="H256" s="4">
        <v>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4">
        <v>0</v>
      </c>
    </row>
    <row r="257" spans="5:38" x14ac:dyDescent="0.5">
      <c r="E257" s="100">
        <v>3</v>
      </c>
      <c r="F257" s="98" t="s">
        <v>13</v>
      </c>
      <c r="G257" s="4">
        <v>1</v>
      </c>
      <c r="H257" s="4">
        <v>2</v>
      </c>
      <c r="I257" s="4">
        <v>11</v>
      </c>
      <c r="J257" s="4">
        <v>25</v>
      </c>
      <c r="K257" s="4">
        <v>7</v>
      </c>
      <c r="L257" s="4">
        <v>19</v>
      </c>
      <c r="M257" s="4">
        <v>27</v>
      </c>
      <c r="N257" s="4">
        <v>14</v>
      </c>
      <c r="O257" s="4">
        <v>5</v>
      </c>
      <c r="P257" s="4">
        <v>10</v>
      </c>
      <c r="Q257" s="4">
        <v>30</v>
      </c>
      <c r="R257" s="4">
        <v>15</v>
      </c>
      <c r="S257" s="4">
        <v>16</v>
      </c>
      <c r="T257" s="4">
        <v>29</v>
      </c>
      <c r="U257" s="4">
        <v>8</v>
      </c>
      <c r="V257" s="4">
        <v>24</v>
      </c>
      <c r="W257" s="4">
        <v>9</v>
      </c>
      <c r="X257" s="4">
        <v>17</v>
      </c>
      <c r="Y257" s="4">
        <v>28</v>
      </c>
      <c r="Z257" s="4">
        <v>20</v>
      </c>
      <c r="AA257" s="4">
        <v>22</v>
      </c>
      <c r="AB257" s="4">
        <v>13</v>
      </c>
      <c r="AC257" s="4">
        <v>18</v>
      </c>
      <c r="AD257" s="4">
        <v>32</v>
      </c>
      <c r="AE257" s="4">
        <v>6</v>
      </c>
      <c r="AF257" s="4">
        <v>23</v>
      </c>
      <c r="AG257" s="4">
        <v>12</v>
      </c>
      <c r="AH257" s="4">
        <v>21</v>
      </c>
      <c r="AI257" s="4">
        <v>31</v>
      </c>
      <c r="AJ257" s="4">
        <v>26</v>
      </c>
      <c r="AK257" s="4">
        <v>0</v>
      </c>
      <c r="AL257" s="4">
        <v>0</v>
      </c>
    </row>
    <row r="258" spans="5:38" ht="16.149999999999999" thickBot="1" x14ac:dyDescent="0.55000000000000004">
      <c r="E258" s="101"/>
      <c r="F258" s="99"/>
      <c r="G258" s="4">
        <v>4</v>
      </c>
      <c r="H258" s="4">
        <v>3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4">
        <v>0</v>
      </c>
    </row>
    <row r="259" spans="5:38" x14ac:dyDescent="0.5">
      <c r="E259" s="100">
        <v>4</v>
      </c>
      <c r="F259" s="98" t="s">
        <v>13</v>
      </c>
      <c r="G259" s="4">
        <v>2</v>
      </c>
      <c r="H259" s="4">
        <v>11</v>
      </c>
      <c r="I259" s="4">
        <v>25</v>
      </c>
      <c r="J259" s="4">
        <v>7</v>
      </c>
      <c r="K259" s="4">
        <v>19</v>
      </c>
      <c r="L259" s="4">
        <v>27</v>
      </c>
      <c r="M259" s="4">
        <v>14</v>
      </c>
      <c r="N259" s="4">
        <v>5</v>
      </c>
      <c r="O259" s="4">
        <v>10</v>
      </c>
      <c r="P259" s="4">
        <v>30</v>
      </c>
      <c r="Q259" s="4">
        <v>15</v>
      </c>
      <c r="R259" s="4">
        <v>16</v>
      </c>
      <c r="S259" s="4">
        <v>29</v>
      </c>
      <c r="T259" s="4">
        <v>8</v>
      </c>
      <c r="U259" s="4">
        <v>24</v>
      </c>
      <c r="V259" s="4">
        <v>9</v>
      </c>
      <c r="W259" s="4">
        <v>17</v>
      </c>
      <c r="X259" s="4">
        <v>28</v>
      </c>
      <c r="Y259" s="4">
        <v>20</v>
      </c>
      <c r="Z259" s="4">
        <v>22</v>
      </c>
      <c r="AA259" s="4">
        <v>13</v>
      </c>
      <c r="AB259" s="4">
        <v>18</v>
      </c>
      <c r="AC259" s="4">
        <v>32</v>
      </c>
      <c r="AD259" s="4">
        <v>6</v>
      </c>
      <c r="AE259" s="4">
        <v>23</v>
      </c>
      <c r="AF259" s="4">
        <v>12</v>
      </c>
      <c r="AG259" s="4">
        <v>21</v>
      </c>
      <c r="AH259" s="4">
        <v>31</v>
      </c>
      <c r="AI259" s="4">
        <v>26</v>
      </c>
      <c r="AJ259" s="4">
        <v>0</v>
      </c>
      <c r="AK259" s="4">
        <v>0</v>
      </c>
      <c r="AL259" s="4">
        <v>0</v>
      </c>
    </row>
    <row r="260" spans="5:38" x14ac:dyDescent="0.5">
      <c r="E260" s="101"/>
      <c r="F260" s="99"/>
      <c r="G260" s="4">
        <v>1</v>
      </c>
      <c r="H260" s="4">
        <v>4</v>
      </c>
      <c r="I260" s="4">
        <v>3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4">
        <v>0</v>
      </c>
    </row>
    <row r="261" spans="5:38" x14ac:dyDescent="0.5">
      <c r="E261" s="100">
        <v>5</v>
      </c>
      <c r="F261" s="98" t="s">
        <v>13</v>
      </c>
      <c r="G261" s="4">
        <v>11</v>
      </c>
      <c r="H261" s="4">
        <v>25</v>
      </c>
      <c r="I261" s="4">
        <v>7</v>
      </c>
      <c r="J261" s="4">
        <v>19</v>
      </c>
      <c r="K261" s="4">
        <v>27</v>
      </c>
      <c r="L261" s="4">
        <v>14</v>
      </c>
      <c r="M261" s="4">
        <v>5</v>
      </c>
      <c r="N261" s="4">
        <v>10</v>
      </c>
      <c r="O261" s="4">
        <v>30</v>
      </c>
      <c r="P261" s="4">
        <v>15</v>
      </c>
      <c r="Q261" s="4">
        <v>16</v>
      </c>
      <c r="R261" s="4">
        <v>29</v>
      </c>
      <c r="S261" s="4">
        <v>8</v>
      </c>
      <c r="T261" s="4">
        <v>24</v>
      </c>
      <c r="U261" s="4">
        <v>9</v>
      </c>
      <c r="V261" s="4">
        <v>17</v>
      </c>
      <c r="W261" s="4">
        <v>28</v>
      </c>
      <c r="X261" s="4">
        <v>20</v>
      </c>
      <c r="Y261" s="4">
        <v>22</v>
      </c>
      <c r="Z261" s="4">
        <v>13</v>
      </c>
      <c r="AA261" s="4">
        <v>18</v>
      </c>
      <c r="AB261" s="4">
        <v>32</v>
      </c>
      <c r="AC261" s="4">
        <v>6</v>
      </c>
      <c r="AD261" s="4">
        <v>23</v>
      </c>
      <c r="AE261" s="4">
        <v>12</v>
      </c>
      <c r="AF261" s="4">
        <v>21</v>
      </c>
      <c r="AG261" s="4">
        <v>31</v>
      </c>
      <c r="AH261" s="4">
        <v>26</v>
      </c>
      <c r="AI261" s="4">
        <v>0</v>
      </c>
      <c r="AJ261" s="4">
        <v>0</v>
      </c>
      <c r="AK261" s="4">
        <v>0</v>
      </c>
      <c r="AL261" s="4">
        <v>0</v>
      </c>
    </row>
    <row r="262" spans="5:38" ht="16.149999999999999" thickBot="1" x14ac:dyDescent="0.55000000000000004">
      <c r="E262" s="101"/>
      <c r="F262" s="99"/>
      <c r="G262" s="4">
        <v>2</v>
      </c>
      <c r="H262" s="4">
        <v>1</v>
      </c>
      <c r="I262" s="4">
        <v>4</v>
      </c>
      <c r="J262" s="4">
        <v>3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4">
        <v>0</v>
      </c>
    </row>
    <row r="264" spans="5:38" ht="16.149999999999999" thickBot="1" x14ac:dyDescent="0.55000000000000004"/>
    <row r="265" spans="5:38" x14ac:dyDescent="0.5">
      <c r="E265" s="100">
        <v>0</v>
      </c>
      <c r="F265" s="102" t="s">
        <v>11</v>
      </c>
      <c r="G265" s="4">
        <v>3</v>
      </c>
      <c r="H265" s="4">
        <v>2</v>
      </c>
      <c r="I265" s="4">
        <v>1</v>
      </c>
      <c r="J265" s="4">
        <v>4</v>
      </c>
      <c r="K265" s="4">
        <v>11</v>
      </c>
      <c r="L265" s="4">
        <v>25</v>
      </c>
      <c r="M265" s="4">
        <v>7</v>
      </c>
      <c r="N265" s="4">
        <v>19</v>
      </c>
      <c r="O265" s="4">
        <v>27</v>
      </c>
      <c r="P265" s="4">
        <v>14</v>
      </c>
      <c r="Q265" s="4">
        <v>5</v>
      </c>
      <c r="R265" s="4">
        <v>10</v>
      </c>
      <c r="S265" s="4">
        <v>30</v>
      </c>
      <c r="T265" s="4">
        <v>15</v>
      </c>
      <c r="U265" s="4">
        <v>16</v>
      </c>
      <c r="V265" s="4">
        <v>29</v>
      </c>
      <c r="W265" s="4">
        <v>8</v>
      </c>
      <c r="X265" s="4">
        <v>24</v>
      </c>
      <c r="Y265" s="4">
        <v>9</v>
      </c>
      <c r="Z265" s="4">
        <v>17</v>
      </c>
      <c r="AA265" s="4">
        <v>28</v>
      </c>
      <c r="AB265" s="4">
        <v>20</v>
      </c>
      <c r="AC265" s="4">
        <v>22</v>
      </c>
      <c r="AD265" s="4">
        <v>13</v>
      </c>
      <c r="AE265" s="4">
        <v>18</v>
      </c>
      <c r="AF265" s="4">
        <v>32</v>
      </c>
      <c r="AG265" s="4">
        <v>6</v>
      </c>
      <c r="AH265" s="4">
        <v>23</v>
      </c>
      <c r="AI265" s="4">
        <v>12</v>
      </c>
      <c r="AJ265" s="4">
        <v>21</v>
      </c>
      <c r="AK265" s="4">
        <v>31</v>
      </c>
      <c r="AL265" s="4">
        <v>26</v>
      </c>
    </row>
    <row r="266" spans="5:38" ht="16.149999999999999" thickBot="1" x14ac:dyDescent="0.55000000000000004">
      <c r="E266" s="101"/>
      <c r="F266" s="103"/>
      <c r="G266" s="4"/>
      <c r="H266" s="4"/>
      <c r="I266" s="4"/>
      <c r="J266" s="4"/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</row>
    <row r="267" spans="5:38" x14ac:dyDescent="0.5">
      <c r="E267" s="100">
        <v>1</v>
      </c>
      <c r="F267" s="98" t="s">
        <v>13</v>
      </c>
      <c r="G267" s="4">
        <v>2</v>
      </c>
      <c r="H267" s="4">
        <v>1</v>
      </c>
      <c r="I267" s="4">
        <v>4</v>
      </c>
      <c r="J267" s="4">
        <v>11</v>
      </c>
      <c r="K267" s="4">
        <v>25</v>
      </c>
      <c r="L267" s="4">
        <v>7</v>
      </c>
      <c r="M267" s="4">
        <v>19</v>
      </c>
      <c r="N267" s="4">
        <v>27</v>
      </c>
      <c r="O267" s="4">
        <v>14</v>
      </c>
      <c r="P267" s="4">
        <v>5</v>
      </c>
      <c r="Q267" s="4">
        <v>10</v>
      </c>
      <c r="R267" s="4">
        <v>30</v>
      </c>
      <c r="S267" s="4">
        <v>15</v>
      </c>
      <c r="T267" s="4">
        <v>16</v>
      </c>
      <c r="U267" s="4">
        <v>29</v>
      </c>
      <c r="V267" s="4">
        <v>8</v>
      </c>
      <c r="W267" s="4">
        <v>24</v>
      </c>
      <c r="X267" s="4">
        <v>9</v>
      </c>
      <c r="Y267" s="4">
        <v>17</v>
      </c>
      <c r="Z267" s="4">
        <v>28</v>
      </c>
      <c r="AA267" s="4">
        <v>20</v>
      </c>
      <c r="AB267" s="4">
        <v>22</v>
      </c>
      <c r="AC267" s="4">
        <v>13</v>
      </c>
      <c r="AD267" s="4">
        <v>18</v>
      </c>
      <c r="AE267" s="4">
        <v>32</v>
      </c>
      <c r="AF267" s="4">
        <v>6</v>
      </c>
      <c r="AG267" s="4">
        <v>23</v>
      </c>
      <c r="AH267" s="4">
        <v>12</v>
      </c>
      <c r="AI267" s="4">
        <v>21</v>
      </c>
      <c r="AJ267" s="4">
        <v>31</v>
      </c>
      <c r="AK267" s="4">
        <v>26</v>
      </c>
      <c r="AL267" s="4">
        <v>0</v>
      </c>
    </row>
    <row r="268" spans="5:38" ht="16.149999999999999" thickBot="1" x14ac:dyDescent="0.55000000000000004">
      <c r="E268" s="101"/>
      <c r="F268" s="99"/>
      <c r="G268" s="4">
        <v>3</v>
      </c>
      <c r="H268" s="4">
        <v>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</row>
    <row r="269" spans="5:38" x14ac:dyDescent="0.5">
      <c r="E269" s="100">
        <v>2</v>
      </c>
      <c r="F269" s="98" t="s">
        <v>13</v>
      </c>
      <c r="G269" s="4">
        <v>1</v>
      </c>
      <c r="H269" s="4">
        <v>4</v>
      </c>
      <c r="I269" s="4">
        <v>11</v>
      </c>
      <c r="J269" s="4">
        <v>25</v>
      </c>
      <c r="K269" s="4">
        <v>7</v>
      </c>
      <c r="L269" s="4">
        <v>19</v>
      </c>
      <c r="M269" s="4">
        <v>27</v>
      </c>
      <c r="N269" s="4">
        <v>14</v>
      </c>
      <c r="O269" s="4">
        <v>5</v>
      </c>
      <c r="P269" s="4">
        <v>10</v>
      </c>
      <c r="Q269" s="4">
        <v>30</v>
      </c>
      <c r="R269" s="4">
        <v>15</v>
      </c>
      <c r="S269" s="4">
        <v>16</v>
      </c>
      <c r="T269" s="4">
        <v>29</v>
      </c>
      <c r="U269" s="4">
        <v>8</v>
      </c>
      <c r="V269" s="4">
        <v>24</v>
      </c>
      <c r="W269" s="4">
        <v>9</v>
      </c>
      <c r="X269" s="4">
        <v>17</v>
      </c>
      <c r="Y269" s="4">
        <v>28</v>
      </c>
      <c r="Z269" s="4">
        <v>20</v>
      </c>
      <c r="AA269" s="4">
        <v>22</v>
      </c>
      <c r="AB269" s="4">
        <v>13</v>
      </c>
      <c r="AC269" s="4">
        <v>18</v>
      </c>
      <c r="AD269" s="4">
        <v>32</v>
      </c>
      <c r="AE269" s="4">
        <v>6</v>
      </c>
      <c r="AF269" s="4">
        <v>23</v>
      </c>
      <c r="AG269" s="4">
        <v>12</v>
      </c>
      <c r="AH269" s="4">
        <v>21</v>
      </c>
      <c r="AI269" s="4">
        <v>31</v>
      </c>
      <c r="AJ269" s="4">
        <v>26</v>
      </c>
      <c r="AK269" s="4">
        <v>0</v>
      </c>
      <c r="AL269" s="4">
        <v>0</v>
      </c>
    </row>
    <row r="270" spans="5:38" ht="16.149999999999999" thickBot="1" x14ac:dyDescent="0.55000000000000004">
      <c r="E270" s="101"/>
      <c r="F270" s="99"/>
      <c r="G270" s="4">
        <v>2</v>
      </c>
      <c r="H270" s="4">
        <v>3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</row>
    <row r="271" spans="5:38" x14ac:dyDescent="0.5">
      <c r="E271" s="100">
        <v>3</v>
      </c>
      <c r="F271" s="104" t="s">
        <v>80</v>
      </c>
      <c r="G271" s="4">
        <v>4</v>
      </c>
      <c r="H271" s="4">
        <v>1</v>
      </c>
      <c r="I271" s="4">
        <v>11</v>
      </c>
      <c r="J271" s="4">
        <v>25</v>
      </c>
      <c r="K271" s="4">
        <v>7</v>
      </c>
      <c r="L271" s="4">
        <v>19</v>
      </c>
      <c r="M271" s="4">
        <v>27</v>
      </c>
      <c r="N271" s="4">
        <v>14</v>
      </c>
      <c r="O271" s="4">
        <v>5</v>
      </c>
      <c r="P271" s="4">
        <v>10</v>
      </c>
      <c r="Q271" s="4">
        <v>30</v>
      </c>
      <c r="R271" s="4">
        <v>15</v>
      </c>
      <c r="S271" s="4">
        <v>16</v>
      </c>
      <c r="T271" s="4">
        <v>29</v>
      </c>
      <c r="U271" s="4">
        <v>8</v>
      </c>
      <c r="V271" s="4">
        <v>24</v>
      </c>
      <c r="W271" s="4">
        <v>9</v>
      </c>
      <c r="X271" s="4">
        <v>17</v>
      </c>
      <c r="Y271" s="4">
        <v>28</v>
      </c>
      <c r="Z271" s="4">
        <v>20</v>
      </c>
      <c r="AA271" s="4">
        <v>22</v>
      </c>
      <c r="AB271" s="4">
        <v>13</v>
      </c>
      <c r="AC271" s="4">
        <v>18</v>
      </c>
      <c r="AD271" s="4">
        <v>32</v>
      </c>
      <c r="AE271" s="4">
        <v>6</v>
      </c>
      <c r="AF271" s="4">
        <v>23</v>
      </c>
      <c r="AG271" s="4">
        <v>12</v>
      </c>
      <c r="AH271" s="4">
        <v>21</v>
      </c>
      <c r="AI271" s="4">
        <v>31</v>
      </c>
      <c r="AJ271" s="4">
        <v>26</v>
      </c>
      <c r="AK271" s="4">
        <v>0</v>
      </c>
      <c r="AL271" s="4">
        <v>0</v>
      </c>
    </row>
    <row r="272" spans="5:38" ht="16.149999999999999" thickBot="1" x14ac:dyDescent="0.55000000000000004">
      <c r="E272" s="101"/>
      <c r="F272" s="105"/>
      <c r="G272" s="4">
        <v>3</v>
      </c>
      <c r="H272" s="4">
        <v>2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</row>
    <row r="273" spans="5:38" x14ac:dyDescent="0.5">
      <c r="E273" s="100">
        <v>4</v>
      </c>
      <c r="F273" s="98" t="s">
        <v>13</v>
      </c>
      <c r="G273" s="4">
        <v>1</v>
      </c>
      <c r="H273" s="4">
        <v>11</v>
      </c>
      <c r="I273" s="4">
        <v>25</v>
      </c>
      <c r="J273" s="4">
        <v>7</v>
      </c>
      <c r="K273" s="4">
        <v>19</v>
      </c>
      <c r="L273" s="4">
        <v>27</v>
      </c>
      <c r="M273" s="4">
        <v>14</v>
      </c>
      <c r="N273" s="4">
        <v>5</v>
      </c>
      <c r="O273" s="4">
        <v>10</v>
      </c>
      <c r="P273" s="4">
        <v>30</v>
      </c>
      <c r="Q273" s="4">
        <v>15</v>
      </c>
      <c r="R273" s="4">
        <v>16</v>
      </c>
      <c r="S273" s="4">
        <v>29</v>
      </c>
      <c r="T273" s="4">
        <v>8</v>
      </c>
      <c r="U273" s="4">
        <v>24</v>
      </c>
      <c r="V273" s="4">
        <v>9</v>
      </c>
      <c r="W273" s="4">
        <v>17</v>
      </c>
      <c r="X273" s="4">
        <v>28</v>
      </c>
      <c r="Y273" s="4">
        <v>20</v>
      </c>
      <c r="Z273" s="4">
        <v>22</v>
      </c>
      <c r="AA273" s="4">
        <v>13</v>
      </c>
      <c r="AB273" s="4">
        <v>18</v>
      </c>
      <c r="AC273" s="4">
        <v>32</v>
      </c>
      <c r="AD273" s="4">
        <v>6</v>
      </c>
      <c r="AE273" s="4">
        <v>23</v>
      </c>
      <c r="AF273" s="4">
        <v>12</v>
      </c>
      <c r="AG273" s="4">
        <v>21</v>
      </c>
      <c r="AH273" s="4">
        <v>31</v>
      </c>
      <c r="AI273" s="4">
        <v>26</v>
      </c>
      <c r="AJ273" s="4">
        <v>0</v>
      </c>
      <c r="AK273" s="4">
        <v>0</v>
      </c>
      <c r="AL273" s="4">
        <v>0</v>
      </c>
    </row>
    <row r="274" spans="5:38" ht="16.149999999999999" thickBot="1" x14ac:dyDescent="0.55000000000000004">
      <c r="E274" s="101"/>
      <c r="F274" s="99"/>
      <c r="G274" s="4">
        <v>4</v>
      </c>
      <c r="H274" s="4">
        <v>3</v>
      </c>
      <c r="I274" s="4">
        <v>2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</row>
    <row r="275" spans="5:38" x14ac:dyDescent="0.5">
      <c r="E275" s="100">
        <v>5</v>
      </c>
      <c r="F275" s="98" t="s">
        <v>13</v>
      </c>
      <c r="G275" s="4">
        <v>11</v>
      </c>
      <c r="H275" s="4">
        <v>25</v>
      </c>
      <c r="I275" s="4">
        <v>7</v>
      </c>
      <c r="J275" s="4">
        <v>19</v>
      </c>
      <c r="K275" s="4">
        <v>27</v>
      </c>
      <c r="L275" s="4">
        <v>14</v>
      </c>
      <c r="M275" s="4">
        <v>5</v>
      </c>
      <c r="N275" s="4">
        <v>10</v>
      </c>
      <c r="O275" s="4">
        <v>30</v>
      </c>
      <c r="P275" s="4">
        <v>15</v>
      </c>
      <c r="Q275" s="4">
        <v>16</v>
      </c>
      <c r="R275" s="4">
        <v>29</v>
      </c>
      <c r="S275" s="4">
        <v>8</v>
      </c>
      <c r="T275" s="4">
        <v>24</v>
      </c>
      <c r="U275" s="4">
        <v>9</v>
      </c>
      <c r="V275" s="4">
        <v>17</v>
      </c>
      <c r="W275" s="4">
        <v>28</v>
      </c>
      <c r="X275" s="4">
        <v>20</v>
      </c>
      <c r="Y275" s="4">
        <v>22</v>
      </c>
      <c r="Z275" s="4">
        <v>13</v>
      </c>
      <c r="AA275" s="4">
        <v>18</v>
      </c>
      <c r="AB275" s="4">
        <v>32</v>
      </c>
      <c r="AC275" s="4">
        <v>6</v>
      </c>
      <c r="AD275" s="4">
        <v>23</v>
      </c>
      <c r="AE275" s="4">
        <v>12</v>
      </c>
      <c r="AF275" s="4">
        <v>21</v>
      </c>
      <c r="AG275" s="4">
        <v>31</v>
      </c>
      <c r="AH275" s="4">
        <v>26</v>
      </c>
      <c r="AI275" s="4">
        <v>0</v>
      </c>
      <c r="AJ275" s="4">
        <v>0</v>
      </c>
      <c r="AK275" s="4">
        <v>0</v>
      </c>
      <c r="AL275" s="4">
        <v>0</v>
      </c>
    </row>
    <row r="276" spans="5:38" ht="16.149999999999999" thickBot="1" x14ac:dyDescent="0.55000000000000004">
      <c r="E276" s="101"/>
      <c r="F276" s="99"/>
      <c r="G276" s="4">
        <v>1</v>
      </c>
      <c r="H276" s="4">
        <v>4</v>
      </c>
      <c r="I276" s="4">
        <v>3</v>
      </c>
      <c r="J276" s="4">
        <v>2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</row>
    <row r="278" spans="5:38" ht="16.149999999999999" thickBot="1" x14ac:dyDescent="0.55000000000000004"/>
    <row r="279" spans="5:38" x14ac:dyDescent="0.5">
      <c r="E279" s="100">
        <v>0</v>
      </c>
      <c r="F279" s="102" t="s">
        <v>11</v>
      </c>
      <c r="G279" s="4">
        <v>3</v>
      </c>
      <c r="H279" s="4">
        <v>4</v>
      </c>
      <c r="I279" s="4">
        <v>1</v>
      </c>
      <c r="J279" s="4">
        <v>2</v>
      </c>
      <c r="K279" s="4">
        <v>11</v>
      </c>
      <c r="L279" s="4">
        <v>25</v>
      </c>
      <c r="M279" s="4">
        <v>7</v>
      </c>
      <c r="N279" s="4">
        <v>19</v>
      </c>
      <c r="O279" s="4">
        <v>27</v>
      </c>
      <c r="P279" s="4">
        <v>14</v>
      </c>
      <c r="Q279" s="4">
        <v>5</v>
      </c>
      <c r="R279" s="4">
        <v>10</v>
      </c>
      <c r="S279" s="4">
        <v>30</v>
      </c>
      <c r="T279" s="4">
        <v>15</v>
      </c>
      <c r="U279" s="4">
        <v>16</v>
      </c>
      <c r="V279" s="4">
        <v>29</v>
      </c>
      <c r="W279" s="4">
        <v>8</v>
      </c>
      <c r="X279" s="4">
        <v>24</v>
      </c>
      <c r="Y279" s="4">
        <v>9</v>
      </c>
      <c r="Z279" s="4">
        <v>17</v>
      </c>
      <c r="AA279" s="4">
        <v>28</v>
      </c>
      <c r="AB279" s="4">
        <v>20</v>
      </c>
      <c r="AC279" s="4">
        <v>22</v>
      </c>
      <c r="AD279" s="4">
        <v>13</v>
      </c>
      <c r="AE279" s="4">
        <v>18</v>
      </c>
      <c r="AF279" s="4">
        <v>32</v>
      </c>
      <c r="AG279" s="4">
        <v>6</v>
      </c>
      <c r="AH279" s="4">
        <v>23</v>
      </c>
      <c r="AI279" s="4">
        <v>12</v>
      </c>
      <c r="AJ279" s="4">
        <v>21</v>
      </c>
      <c r="AK279" s="4">
        <v>31</v>
      </c>
      <c r="AL279" s="4">
        <v>26</v>
      </c>
    </row>
    <row r="280" spans="5:38" ht="16.149999999999999" thickBot="1" x14ac:dyDescent="0.55000000000000004">
      <c r="E280" s="101"/>
      <c r="F280" s="103"/>
      <c r="G280" s="4"/>
      <c r="H280" s="4"/>
      <c r="I280" s="4"/>
      <c r="J280" s="4"/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</row>
    <row r="281" spans="5:38" x14ac:dyDescent="0.5">
      <c r="E281" s="100">
        <v>1</v>
      </c>
      <c r="F281" s="98" t="s">
        <v>13</v>
      </c>
      <c r="G281" s="4">
        <v>4</v>
      </c>
      <c r="H281" s="4">
        <v>1</v>
      </c>
      <c r="I281" s="4">
        <v>2</v>
      </c>
      <c r="J281" s="4">
        <v>11</v>
      </c>
      <c r="K281" s="4">
        <v>25</v>
      </c>
      <c r="L281" s="4">
        <v>7</v>
      </c>
      <c r="M281" s="4">
        <v>19</v>
      </c>
      <c r="N281" s="4">
        <v>27</v>
      </c>
      <c r="O281" s="4">
        <v>14</v>
      </c>
      <c r="P281" s="4">
        <v>5</v>
      </c>
      <c r="Q281" s="4">
        <v>10</v>
      </c>
      <c r="R281" s="4">
        <v>30</v>
      </c>
      <c r="S281" s="4">
        <v>15</v>
      </c>
      <c r="T281" s="4">
        <v>16</v>
      </c>
      <c r="U281" s="4">
        <v>29</v>
      </c>
      <c r="V281" s="4">
        <v>8</v>
      </c>
      <c r="W281" s="4">
        <v>24</v>
      </c>
      <c r="X281" s="4">
        <v>9</v>
      </c>
      <c r="Y281" s="4">
        <v>17</v>
      </c>
      <c r="Z281" s="4">
        <v>28</v>
      </c>
      <c r="AA281" s="4">
        <v>20</v>
      </c>
      <c r="AB281" s="4">
        <v>22</v>
      </c>
      <c r="AC281" s="4">
        <v>13</v>
      </c>
      <c r="AD281" s="4">
        <v>18</v>
      </c>
      <c r="AE281" s="4">
        <v>32</v>
      </c>
      <c r="AF281" s="4">
        <v>6</v>
      </c>
      <c r="AG281" s="4">
        <v>23</v>
      </c>
      <c r="AH281" s="4">
        <v>12</v>
      </c>
      <c r="AI281" s="4">
        <v>21</v>
      </c>
      <c r="AJ281" s="4">
        <v>31</v>
      </c>
      <c r="AK281" s="4">
        <v>26</v>
      </c>
      <c r="AL281" s="4">
        <v>0</v>
      </c>
    </row>
    <row r="282" spans="5:38" ht="16.149999999999999" thickBot="1" x14ac:dyDescent="0.55000000000000004">
      <c r="E282" s="101"/>
      <c r="F282" s="99"/>
      <c r="G282" s="4">
        <v>3</v>
      </c>
      <c r="H282" s="4">
        <v>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</row>
    <row r="283" spans="5:38" x14ac:dyDescent="0.5">
      <c r="E283" s="100">
        <v>2</v>
      </c>
      <c r="F283" s="98" t="s">
        <v>13</v>
      </c>
      <c r="G283" s="4">
        <v>1</v>
      </c>
      <c r="H283" s="4">
        <v>2</v>
      </c>
      <c r="I283" s="4">
        <v>11</v>
      </c>
      <c r="J283" s="4">
        <v>25</v>
      </c>
      <c r="K283" s="4">
        <v>7</v>
      </c>
      <c r="L283" s="4">
        <v>19</v>
      </c>
      <c r="M283" s="4">
        <v>27</v>
      </c>
      <c r="N283" s="4">
        <v>14</v>
      </c>
      <c r="O283" s="4">
        <v>5</v>
      </c>
      <c r="P283" s="4">
        <v>10</v>
      </c>
      <c r="Q283" s="4">
        <v>30</v>
      </c>
      <c r="R283" s="4">
        <v>15</v>
      </c>
      <c r="S283" s="4">
        <v>16</v>
      </c>
      <c r="T283" s="4">
        <v>29</v>
      </c>
      <c r="U283" s="4">
        <v>8</v>
      </c>
      <c r="V283" s="4">
        <v>24</v>
      </c>
      <c r="W283" s="4">
        <v>9</v>
      </c>
      <c r="X283" s="4">
        <v>17</v>
      </c>
      <c r="Y283" s="4">
        <v>28</v>
      </c>
      <c r="Z283" s="4">
        <v>20</v>
      </c>
      <c r="AA283" s="4">
        <v>22</v>
      </c>
      <c r="AB283" s="4">
        <v>13</v>
      </c>
      <c r="AC283" s="4">
        <v>18</v>
      </c>
      <c r="AD283" s="4">
        <v>32</v>
      </c>
      <c r="AE283" s="4">
        <v>6</v>
      </c>
      <c r="AF283" s="4">
        <v>23</v>
      </c>
      <c r="AG283" s="4">
        <v>12</v>
      </c>
      <c r="AH283" s="4">
        <v>21</v>
      </c>
      <c r="AI283" s="4">
        <v>31</v>
      </c>
      <c r="AJ283" s="4">
        <v>26</v>
      </c>
      <c r="AK283" s="4">
        <v>0</v>
      </c>
      <c r="AL283" s="4">
        <v>0</v>
      </c>
    </row>
    <row r="284" spans="5:38" ht="16.149999999999999" thickBot="1" x14ac:dyDescent="0.55000000000000004">
      <c r="E284" s="101"/>
      <c r="F284" s="99"/>
      <c r="G284" s="4">
        <v>4</v>
      </c>
      <c r="H284" s="4">
        <v>3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</row>
    <row r="285" spans="5:38" x14ac:dyDescent="0.5">
      <c r="E285" s="100">
        <v>3</v>
      </c>
      <c r="F285" s="98" t="s">
        <v>13</v>
      </c>
      <c r="G285" s="4">
        <v>2</v>
      </c>
      <c r="H285" s="4">
        <v>11</v>
      </c>
      <c r="I285" s="4">
        <v>25</v>
      </c>
      <c r="J285" s="4">
        <v>7</v>
      </c>
      <c r="K285" s="4">
        <v>19</v>
      </c>
      <c r="L285" s="4">
        <v>27</v>
      </c>
      <c r="M285" s="4">
        <v>14</v>
      </c>
      <c r="N285" s="4">
        <v>5</v>
      </c>
      <c r="O285" s="4">
        <v>10</v>
      </c>
      <c r="P285" s="4">
        <v>30</v>
      </c>
      <c r="Q285" s="4">
        <v>15</v>
      </c>
      <c r="R285" s="4">
        <v>16</v>
      </c>
      <c r="S285" s="4">
        <v>29</v>
      </c>
      <c r="T285" s="4">
        <v>8</v>
      </c>
      <c r="U285" s="4">
        <v>24</v>
      </c>
      <c r="V285" s="4">
        <v>9</v>
      </c>
      <c r="W285" s="4">
        <v>17</v>
      </c>
      <c r="X285" s="4">
        <v>28</v>
      </c>
      <c r="Y285" s="4">
        <v>20</v>
      </c>
      <c r="Z285" s="4">
        <v>22</v>
      </c>
      <c r="AA285" s="4">
        <v>13</v>
      </c>
      <c r="AB285" s="4">
        <v>18</v>
      </c>
      <c r="AC285" s="4">
        <v>32</v>
      </c>
      <c r="AD285" s="4">
        <v>6</v>
      </c>
      <c r="AE285" s="4">
        <v>23</v>
      </c>
      <c r="AF285" s="4">
        <v>12</v>
      </c>
      <c r="AG285" s="4">
        <v>21</v>
      </c>
      <c r="AH285" s="4">
        <v>31</v>
      </c>
      <c r="AI285" s="4">
        <v>26</v>
      </c>
      <c r="AJ285" s="4">
        <v>0</v>
      </c>
      <c r="AK285" s="4">
        <v>0</v>
      </c>
      <c r="AL285" s="4">
        <v>0</v>
      </c>
    </row>
    <row r="286" spans="5:38" ht="16.149999999999999" thickBot="1" x14ac:dyDescent="0.55000000000000004">
      <c r="E286" s="101"/>
      <c r="F286" s="99"/>
      <c r="G286" s="4">
        <v>1</v>
      </c>
      <c r="H286" s="4">
        <v>4</v>
      </c>
      <c r="I286" s="4">
        <v>3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</row>
    <row r="287" spans="5:38" x14ac:dyDescent="0.5">
      <c r="E287" s="100">
        <v>4</v>
      </c>
      <c r="F287" s="98" t="s">
        <v>13</v>
      </c>
      <c r="G287" s="4">
        <v>11</v>
      </c>
      <c r="H287" s="4">
        <v>25</v>
      </c>
      <c r="I287" s="4">
        <v>7</v>
      </c>
      <c r="J287" s="4">
        <v>19</v>
      </c>
      <c r="K287" s="4">
        <v>27</v>
      </c>
      <c r="L287" s="4">
        <v>14</v>
      </c>
      <c r="M287" s="4">
        <v>5</v>
      </c>
      <c r="N287" s="4">
        <v>10</v>
      </c>
      <c r="O287" s="4">
        <v>30</v>
      </c>
      <c r="P287" s="4">
        <v>15</v>
      </c>
      <c r="Q287" s="4">
        <v>16</v>
      </c>
      <c r="R287" s="4">
        <v>29</v>
      </c>
      <c r="S287" s="4">
        <v>8</v>
      </c>
      <c r="T287" s="4">
        <v>24</v>
      </c>
      <c r="U287" s="4">
        <v>9</v>
      </c>
      <c r="V287" s="4">
        <v>17</v>
      </c>
      <c r="W287" s="4">
        <v>28</v>
      </c>
      <c r="X287" s="4">
        <v>20</v>
      </c>
      <c r="Y287" s="4">
        <v>22</v>
      </c>
      <c r="Z287" s="4">
        <v>13</v>
      </c>
      <c r="AA287" s="4">
        <v>18</v>
      </c>
      <c r="AB287" s="4">
        <v>32</v>
      </c>
      <c r="AC287" s="4">
        <v>6</v>
      </c>
      <c r="AD287" s="4">
        <v>23</v>
      </c>
      <c r="AE287" s="4">
        <v>12</v>
      </c>
      <c r="AF287" s="4">
        <v>21</v>
      </c>
      <c r="AG287" s="4">
        <v>31</v>
      </c>
      <c r="AH287" s="4">
        <v>26</v>
      </c>
      <c r="AI287" s="4">
        <v>0</v>
      </c>
      <c r="AJ287" s="4">
        <v>0</v>
      </c>
      <c r="AK287" s="4">
        <v>0</v>
      </c>
      <c r="AL287" s="4">
        <v>0</v>
      </c>
    </row>
    <row r="288" spans="5:38" ht="16.149999999999999" thickBot="1" x14ac:dyDescent="0.55000000000000004">
      <c r="E288" s="101"/>
      <c r="F288" s="99"/>
      <c r="G288" s="4">
        <v>2</v>
      </c>
      <c r="H288" s="4">
        <v>1</v>
      </c>
      <c r="I288" s="4">
        <v>4</v>
      </c>
      <c r="J288" s="4">
        <v>3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4">
        <v>0</v>
      </c>
    </row>
    <row r="290" spans="5:38" ht="16.149999999999999" thickBot="1" x14ac:dyDescent="0.55000000000000004"/>
    <row r="291" spans="5:38" x14ac:dyDescent="0.5">
      <c r="E291" s="100">
        <v>0</v>
      </c>
      <c r="F291" s="102" t="s">
        <v>11</v>
      </c>
      <c r="G291" s="4">
        <v>3</v>
      </c>
      <c r="H291" s="4">
        <v>2</v>
      </c>
      <c r="I291" s="4">
        <v>4</v>
      </c>
      <c r="J291" s="4">
        <v>1</v>
      </c>
      <c r="K291" s="4">
        <v>11</v>
      </c>
      <c r="L291" s="4">
        <v>25</v>
      </c>
      <c r="M291" s="4">
        <v>7</v>
      </c>
      <c r="N291" s="4">
        <v>19</v>
      </c>
      <c r="O291" s="4">
        <v>27</v>
      </c>
      <c r="P291" s="4">
        <v>14</v>
      </c>
      <c r="Q291" s="4">
        <v>5</v>
      </c>
      <c r="R291" s="4">
        <v>10</v>
      </c>
      <c r="S291" s="4">
        <v>30</v>
      </c>
      <c r="T291" s="4">
        <v>15</v>
      </c>
      <c r="U291" s="4">
        <v>16</v>
      </c>
      <c r="V291" s="4">
        <v>29</v>
      </c>
      <c r="W291" s="4">
        <v>8</v>
      </c>
      <c r="X291" s="4">
        <v>24</v>
      </c>
      <c r="Y291" s="4">
        <v>9</v>
      </c>
      <c r="Z291" s="4">
        <v>17</v>
      </c>
      <c r="AA291" s="4">
        <v>28</v>
      </c>
      <c r="AB291" s="4">
        <v>20</v>
      </c>
      <c r="AC291" s="4">
        <v>22</v>
      </c>
      <c r="AD291" s="4">
        <v>13</v>
      </c>
      <c r="AE291" s="4">
        <v>18</v>
      </c>
      <c r="AF291" s="4">
        <v>32</v>
      </c>
      <c r="AG291" s="4">
        <v>6</v>
      </c>
      <c r="AH291" s="4">
        <v>23</v>
      </c>
      <c r="AI291" s="4">
        <v>12</v>
      </c>
      <c r="AJ291" s="4">
        <v>21</v>
      </c>
      <c r="AK291" s="4">
        <v>31</v>
      </c>
      <c r="AL291" s="4">
        <v>26</v>
      </c>
    </row>
    <row r="292" spans="5:38" ht="16.149999999999999" thickBot="1" x14ac:dyDescent="0.55000000000000004">
      <c r="E292" s="101"/>
      <c r="F292" s="103"/>
      <c r="G292" s="4"/>
      <c r="H292" s="4"/>
      <c r="I292" s="4"/>
      <c r="J292" s="4"/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4">
        <v>0</v>
      </c>
    </row>
    <row r="293" spans="5:38" x14ac:dyDescent="0.5">
      <c r="E293" s="100">
        <v>1</v>
      </c>
      <c r="F293" s="98" t="s">
        <v>13</v>
      </c>
      <c r="G293" s="4">
        <v>2</v>
      </c>
      <c r="H293" s="4">
        <v>4</v>
      </c>
      <c r="I293" s="4">
        <v>1</v>
      </c>
      <c r="J293" s="4">
        <v>11</v>
      </c>
      <c r="K293" s="4">
        <v>25</v>
      </c>
      <c r="L293" s="4">
        <v>7</v>
      </c>
      <c r="M293" s="4">
        <v>19</v>
      </c>
      <c r="N293" s="4">
        <v>27</v>
      </c>
      <c r="O293" s="4">
        <v>14</v>
      </c>
      <c r="P293" s="4">
        <v>5</v>
      </c>
      <c r="Q293" s="4">
        <v>10</v>
      </c>
      <c r="R293" s="4">
        <v>30</v>
      </c>
      <c r="S293" s="4">
        <v>15</v>
      </c>
      <c r="T293" s="4">
        <v>16</v>
      </c>
      <c r="U293" s="4">
        <v>29</v>
      </c>
      <c r="V293" s="4">
        <v>8</v>
      </c>
      <c r="W293" s="4">
        <v>24</v>
      </c>
      <c r="X293" s="4">
        <v>9</v>
      </c>
      <c r="Y293" s="4">
        <v>17</v>
      </c>
      <c r="Z293" s="4">
        <v>28</v>
      </c>
      <c r="AA293" s="4">
        <v>20</v>
      </c>
      <c r="AB293" s="4">
        <v>22</v>
      </c>
      <c r="AC293" s="4">
        <v>13</v>
      </c>
      <c r="AD293" s="4">
        <v>18</v>
      </c>
      <c r="AE293" s="4">
        <v>32</v>
      </c>
      <c r="AF293" s="4">
        <v>6</v>
      </c>
      <c r="AG293" s="4">
        <v>23</v>
      </c>
      <c r="AH293" s="4">
        <v>12</v>
      </c>
      <c r="AI293" s="4">
        <v>21</v>
      </c>
      <c r="AJ293" s="4">
        <v>31</v>
      </c>
      <c r="AK293" s="4">
        <v>26</v>
      </c>
      <c r="AL293" s="4">
        <v>0</v>
      </c>
    </row>
    <row r="294" spans="5:38" ht="16.149999999999999" thickBot="1" x14ac:dyDescent="0.55000000000000004">
      <c r="E294" s="101"/>
      <c r="F294" s="99"/>
      <c r="G294" s="4">
        <v>3</v>
      </c>
      <c r="H294" s="4">
        <v>0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4">
        <v>0</v>
      </c>
    </row>
    <row r="295" spans="5:38" x14ac:dyDescent="0.5">
      <c r="E295" s="100">
        <v>2</v>
      </c>
      <c r="F295" s="98" t="s">
        <v>13</v>
      </c>
      <c r="G295" s="4">
        <v>4</v>
      </c>
      <c r="H295" s="4">
        <v>1</v>
      </c>
      <c r="I295" s="4">
        <v>11</v>
      </c>
      <c r="J295" s="4">
        <v>25</v>
      </c>
      <c r="K295" s="4">
        <v>7</v>
      </c>
      <c r="L295" s="4">
        <v>19</v>
      </c>
      <c r="M295" s="4">
        <v>27</v>
      </c>
      <c r="N295" s="4">
        <v>14</v>
      </c>
      <c r="O295" s="4">
        <v>5</v>
      </c>
      <c r="P295" s="4">
        <v>10</v>
      </c>
      <c r="Q295" s="4">
        <v>30</v>
      </c>
      <c r="R295" s="4">
        <v>15</v>
      </c>
      <c r="S295" s="4">
        <v>16</v>
      </c>
      <c r="T295" s="4">
        <v>29</v>
      </c>
      <c r="U295" s="4">
        <v>8</v>
      </c>
      <c r="V295" s="4">
        <v>24</v>
      </c>
      <c r="W295" s="4">
        <v>9</v>
      </c>
      <c r="X295" s="4">
        <v>17</v>
      </c>
      <c r="Y295" s="4">
        <v>28</v>
      </c>
      <c r="Z295" s="4">
        <v>20</v>
      </c>
      <c r="AA295" s="4">
        <v>22</v>
      </c>
      <c r="AB295" s="4">
        <v>13</v>
      </c>
      <c r="AC295" s="4">
        <v>18</v>
      </c>
      <c r="AD295" s="4">
        <v>32</v>
      </c>
      <c r="AE295" s="4">
        <v>6</v>
      </c>
      <c r="AF295" s="4">
        <v>23</v>
      </c>
      <c r="AG295" s="4">
        <v>12</v>
      </c>
      <c r="AH295" s="4">
        <v>21</v>
      </c>
      <c r="AI295" s="4">
        <v>31</v>
      </c>
      <c r="AJ295" s="4">
        <v>26</v>
      </c>
      <c r="AK295" s="4">
        <v>0</v>
      </c>
      <c r="AL295" s="4">
        <v>0</v>
      </c>
    </row>
    <row r="296" spans="5:38" ht="16.149999999999999" thickBot="1" x14ac:dyDescent="0.55000000000000004">
      <c r="E296" s="101"/>
      <c r="F296" s="99"/>
      <c r="G296" s="4">
        <v>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0</v>
      </c>
      <c r="AG296" s="4">
        <v>0</v>
      </c>
      <c r="AH296" s="4">
        <v>0</v>
      </c>
      <c r="AI296" s="4">
        <v>0</v>
      </c>
      <c r="AJ296" s="4">
        <v>0</v>
      </c>
      <c r="AK296" s="4">
        <v>0</v>
      </c>
      <c r="AL296" s="4">
        <v>0</v>
      </c>
    </row>
    <row r="297" spans="5:38" x14ac:dyDescent="0.5">
      <c r="E297" s="100">
        <v>3</v>
      </c>
      <c r="F297" s="98" t="s">
        <v>17</v>
      </c>
      <c r="G297" s="4">
        <v>4</v>
      </c>
      <c r="H297" s="4">
        <v>1</v>
      </c>
      <c r="I297" s="4">
        <v>11</v>
      </c>
      <c r="J297" s="4">
        <v>25</v>
      </c>
      <c r="K297" s="4">
        <v>7</v>
      </c>
      <c r="L297" s="4">
        <v>19</v>
      </c>
      <c r="M297" s="4">
        <v>27</v>
      </c>
      <c r="N297" s="4">
        <v>14</v>
      </c>
      <c r="O297" s="4">
        <v>5</v>
      </c>
      <c r="P297" s="4">
        <v>10</v>
      </c>
      <c r="Q297" s="4">
        <v>30</v>
      </c>
      <c r="R297" s="4">
        <v>15</v>
      </c>
      <c r="S297" s="4">
        <v>16</v>
      </c>
      <c r="T297" s="4">
        <v>29</v>
      </c>
      <c r="U297" s="4">
        <v>8</v>
      </c>
      <c r="V297" s="4">
        <v>24</v>
      </c>
      <c r="W297" s="4">
        <v>9</v>
      </c>
      <c r="X297" s="4">
        <v>17</v>
      </c>
      <c r="Y297" s="4">
        <v>28</v>
      </c>
      <c r="Z297" s="4">
        <v>20</v>
      </c>
      <c r="AA297" s="4">
        <v>22</v>
      </c>
      <c r="AB297" s="4">
        <v>13</v>
      </c>
      <c r="AC297" s="4">
        <v>18</v>
      </c>
      <c r="AD297" s="4">
        <v>32</v>
      </c>
      <c r="AE297" s="4">
        <v>6</v>
      </c>
      <c r="AF297" s="4">
        <v>23</v>
      </c>
      <c r="AG297" s="4">
        <v>12</v>
      </c>
      <c r="AH297" s="4">
        <v>21</v>
      </c>
      <c r="AI297" s="4">
        <v>31</v>
      </c>
      <c r="AJ297" s="4">
        <v>26</v>
      </c>
      <c r="AK297" s="4">
        <v>0</v>
      </c>
      <c r="AL297" s="4">
        <v>0</v>
      </c>
    </row>
    <row r="298" spans="5:38" ht="16.149999999999999" thickBot="1" x14ac:dyDescent="0.55000000000000004">
      <c r="E298" s="101"/>
      <c r="F298" s="99"/>
      <c r="G298" s="4">
        <v>3</v>
      </c>
      <c r="H298" s="4">
        <v>2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0</v>
      </c>
      <c r="AI298" s="4">
        <v>0</v>
      </c>
      <c r="AJ298" s="4">
        <v>0</v>
      </c>
      <c r="AK298" s="4">
        <v>0</v>
      </c>
      <c r="AL298" s="4">
        <v>0</v>
      </c>
    </row>
    <row r="299" spans="5:38" x14ac:dyDescent="0.5">
      <c r="E299" s="100">
        <v>4</v>
      </c>
      <c r="F299" s="98" t="s">
        <v>13</v>
      </c>
      <c r="G299" s="4">
        <v>1</v>
      </c>
      <c r="H299" s="4">
        <v>11</v>
      </c>
      <c r="I299" s="4">
        <v>25</v>
      </c>
      <c r="J299" s="4">
        <v>7</v>
      </c>
      <c r="K299" s="4">
        <v>19</v>
      </c>
      <c r="L299" s="4">
        <v>27</v>
      </c>
      <c r="M299" s="4">
        <v>14</v>
      </c>
      <c r="N299" s="4">
        <v>5</v>
      </c>
      <c r="O299" s="4">
        <v>10</v>
      </c>
      <c r="P299" s="4">
        <v>30</v>
      </c>
      <c r="Q299" s="4">
        <v>15</v>
      </c>
      <c r="R299" s="4">
        <v>16</v>
      </c>
      <c r="S299" s="4">
        <v>29</v>
      </c>
      <c r="T299" s="4">
        <v>8</v>
      </c>
      <c r="U299" s="4">
        <v>24</v>
      </c>
      <c r="V299" s="4">
        <v>9</v>
      </c>
      <c r="W299" s="4">
        <v>17</v>
      </c>
      <c r="X299" s="4">
        <v>28</v>
      </c>
      <c r="Y299" s="4">
        <v>20</v>
      </c>
      <c r="Z299" s="4">
        <v>22</v>
      </c>
      <c r="AA299" s="4">
        <v>13</v>
      </c>
      <c r="AB299" s="4">
        <v>18</v>
      </c>
      <c r="AC299" s="4">
        <v>32</v>
      </c>
      <c r="AD299" s="4">
        <v>6</v>
      </c>
      <c r="AE299" s="4">
        <v>23</v>
      </c>
      <c r="AF299" s="4">
        <v>12</v>
      </c>
      <c r="AG299" s="4">
        <v>21</v>
      </c>
      <c r="AH299" s="4">
        <v>31</v>
      </c>
      <c r="AI299" s="4">
        <v>26</v>
      </c>
      <c r="AJ299" s="4">
        <v>0</v>
      </c>
      <c r="AK299" s="4">
        <v>0</v>
      </c>
      <c r="AL299" s="4">
        <v>0</v>
      </c>
    </row>
    <row r="300" spans="5:38" ht="16.149999999999999" thickBot="1" x14ac:dyDescent="0.55000000000000004">
      <c r="E300" s="101"/>
      <c r="F300" s="99"/>
      <c r="G300" s="4">
        <v>4</v>
      </c>
      <c r="H300" s="4">
        <v>3</v>
      </c>
      <c r="I300" s="4">
        <v>2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0</v>
      </c>
      <c r="AH300" s="4">
        <v>0</v>
      </c>
      <c r="AI300" s="4">
        <v>0</v>
      </c>
      <c r="AJ300" s="4">
        <v>0</v>
      </c>
      <c r="AK300" s="4">
        <v>0</v>
      </c>
      <c r="AL300" s="4">
        <v>0</v>
      </c>
    </row>
    <row r="301" spans="5:38" x14ac:dyDescent="0.5">
      <c r="E301" s="100">
        <v>5</v>
      </c>
      <c r="F301" s="98" t="s">
        <v>13</v>
      </c>
      <c r="G301" s="4">
        <v>11</v>
      </c>
      <c r="H301" s="4">
        <v>25</v>
      </c>
      <c r="I301" s="4">
        <v>7</v>
      </c>
      <c r="J301" s="4">
        <v>19</v>
      </c>
      <c r="K301" s="4">
        <v>27</v>
      </c>
      <c r="L301" s="4">
        <v>14</v>
      </c>
      <c r="M301" s="4">
        <v>5</v>
      </c>
      <c r="N301" s="4">
        <v>10</v>
      </c>
      <c r="O301" s="4">
        <v>30</v>
      </c>
      <c r="P301" s="4">
        <v>15</v>
      </c>
      <c r="Q301" s="4">
        <v>16</v>
      </c>
      <c r="R301" s="4">
        <v>29</v>
      </c>
      <c r="S301" s="4">
        <v>8</v>
      </c>
      <c r="T301" s="4">
        <v>24</v>
      </c>
      <c r="U301" s="4">
        <v>9</v>
      </c>
      <c r="V301" s="4">
        <v>17</v>
      </c>
      <c r="W301" s="4">
        <v>28</v>
      </c>
      <c r="X301" s="4">
        <v>20</v>
      </c>
      <c r="Y301" s="4">
        <v>22</v>
      </c>
      <c r="Z301" s="4">
        <v>13</v>
      </c>
      <c r="AA301" s="4">
        <v>18</v>
      </c>
      <c r="AB301" s="4">
        <v>32</v>
      </c>
      <c r="AC301" s="4">
        <v>6</v>
      </c>
      <c r="AD301" s="4">
        <v>23</v>
      </c>
      <c r="AE301" s="4">
        <v>12</v>
      </c>
      <c r="AF301" s="4">
        <v>21</v>
      </c>
      <c r="AG301" s="4">
        <v>31</v>
      </c>
      <c r="AH301" s="4">
        <v>26</v>
      </c>
      <c r="AI301" s="4">
        <v>0</v>
      </c>
      <c r="AJ301" s="4">
        <v>0</v>
      </c>
      <c r="AK301" s="4">
        <v>0</v>
      </c>
      <c r="AL301" s="4">
        <v>0</v>
      </c>
    </row>
    <row r="302" spans="5:38" ht="16.149999999999999" thickBot="1" x14ac:dyDescent="0.55000000000000004">
      <c r="E302" s="101"/>
      <c r="F302" s="99"/>
      <c r="G302" s="4">
        <v>1</v>
      </c>
      <c r="H302" s="4">
        <v>4</v>
      </c>
      <c r="I302" s="4">
        <v>3</v>
      </c>
      <c r="J302" s="4">
        <v>2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0</v>
      </c>
      <c r="AL302" s="4">
        <v>0</v>
      </c>
    </row>
    <row r="304" spans="5:38" ht="16.149999999999999" thickBot="1" x14ac:dyDescent="0.55000000000000004"/>
    <row r="305" spans="5:38" x14ac:dyDescent="0.5">
      <c r="E305" s="100">
        <v>0</v>
      </c>
      <c r="F305" s="102" t="s">
        <v>11</v>
      </c>
      <c r="G305" s="4">
        <v>3</v>
      </c>
      <c r="H305" s="4">
        <v>4</v>
      </c>
      <c r="I305" s="4">
        <v>2</v>
      </c>
      <c r="J305" s="4">
        <v>1</v>
      </c>
      <c r="K305" s="4">
        <v>11</v>
      </c>
      <c r="L305" s="4">
        <v>25</v>
      </c>
      <c r="M305" s="4">
        <v>7</v>
      </c>
      <c r="N305" s="4">
        <v>19</v>
      </c>
      <c r="O305" s="4">
        <v>27</v>
      </c>
      <c r="P305" s="4">
        <v>14</v>
      </c>
      <c r="Q305" s="4">
        <v>5</v>
      </c>
      <c r="R305" s="4">
        <v>10</v>
      </c>
      <c r="S305" s="4">
        <v>30</v>
      </c>
      <c r="T305" s="4">
        <v>15</v>
      </c>
      <c r="U305" s="4">
        <v>16</v>
      </c>
      <c r="V305" s="4">
        <v>29</v>
      </c>
      <c r="W305" s="4">
        <v>8</v>
      </c>
      <c r="X305" s="4">
        <v>24</v>
      </c>
      <c r="Y305" s="4">
        <v>9</v>
      </c>
      <c r="Z305" s="4">
        <v>17</v>
      </c>
      <c r="AA305" s="4">
        <v>28</v>
      </c>
      <c r="AB305" s="4">
        <v>20</v>
      </c>
      <c r="AC305" s="4">
        <v>22</v>
      </c>
      <c r="AD305" s="4">
        <v>13</v>
      </c>
      <c r="AE305" s="4">
        <v>18</v>
      </c>
      <c r="AF305" s="4">
        <v>32</v>
      </c>
      <c r="AG305" s="4">
        <v>6</v>
      </c>
      <c r="AH305" s="4">
        <v>23</v>
      </c>
      <c r="AI305" s="4">
        <v>12</v>
      </c>
      <c r="AJ305" s="4">
        <v>21</v>
      </c>
      <c r="AK305" s="4">
        <v>31</v>
      </c>
      <c r="AL305" s="4">
        <v>26</v>
      </c>
    </row>
    <row r="306" spans="5:38" ht="16.149999999999999" thickBot="1" x14ac:dyDescent="0.55000000000000004">
      <c r="E306" s="101"/>
      <c r="F306" s="103"/>
      <c r="G306" s="4"/>
      <c r="H306" s="4"/>
      <c r="I306" s="4"/>
      <c r="J306" s="4"/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4">
        <v>0</v>
      </c>
    </row>
    <row r="307" spans="5:38" x14ac:dyDescent="0.5">
      <c r="E307" s="100">
        <v>1</v>
      </c>
      <c r="F307" s="98" t="s">
        <v>13</v>
      </c>
      <c r="G307" s="4">
        <v>4</v>
      </c>
      <c r="H307" s="4">
        <v>2</v>
      </c>
      <c r="I307" s="4">
        <v>1</v>
      </c>
      <c r="J307" s="4">
        <v>11</v>
      </c>
      <c r="K307" s="4">
        <v>25</v>
      </c>
      <c r="L307" s="4">
        <v>7</v>
      </c>
      <c r="M307" s="4">
        <v>19</v>
      </c>
      <c r="N307" s="4">
        <v>27</v>
      </c>
      <c r="O307" s="4">
        <v>14</v>
      </c>
      <c r="P307" s="4">
        <v>5</v>
      </c>
      <c r="Q307" s="4">
        <v>10</v>
      </c>
      <c r="R307" s="4">
        <v>30</v>
      </c>
      <c r="S307" s="4">
        <v>15</v>
      </c>
      <c r="T307" s="4">
        <v>16</v>
      </c>
      <c r="U307" s="4">
        <v>29</v>
      </c>
      <c r="V307" s="4">
        <v>8</v>
      </c>
      <c r="W307" s="4">
        <v>24</v>
      </c>
      <c r="X307" s="4">
        <v>9</v>
      </c>
      <c r="Y307" s="4">
        <v>17</v>
      </c>
      <c r="Z307" s="4">
        <v>28</v>
      </c>
      <c r="AA307" s="4">
        <v>20</v>
      </c>
      <c r="AB307" s="4">
        <v>22</v>
      </c>
      <c r="AC307" s="4">
        <v>13</v>
      </c>
      <c r="AD307" s="4">
        <v>18</v>
      </c>
      <c r="AE307" s="4">
        <v>32</v>
      </c>
      <c r="AF307" s="4">
        <v>6</v>
      </c>
      <c r="AG307" s="4">
        <v>23</v>
      </c>
      <c r="AH307" s="4">
        <v>12</v>
      </c>
      <c r="AI307" s="4">
        <v>21</v>
      </c>
      <c r="AJ307" s="4">
        <v>31</v>
      </c>
      <c r="AK307" s="4">
        <v>26</v>
      </c>
      <c r="AL307" s="4">
        <v>0</v>
      </c>
    </row>
    <row r="308" spans="5:38" ht="16.149999999999999" thickBot="1" x14ac:dyDescent="0.55000000000000004">
      <c r="E308" s="101"/>
      <c r="F308" s="99"/>
      <c r="G308" s="4">
        <v>3</v>
      </c>
      <c r="H308" s="4">
        <v>0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4">
        <v>0</v>
      </c>
    </row>
    <row r="309" spans="5:38" x14ac:dyDescent="0.5">
      <c r="E309" s="100">
        <v>2</v>
      </c>
      <c r="F309" s="98" t="s">
        <v>13</v>
      </c>
      <c r="G309" s="4">
        <v>2</v>
      </c>
      <c r="H309" s="4">
        <v>1</v>
      </c>
      <c r="I309" s="4">
        <v>11</v>
      </c>
      <c r="J309" s="4">
        <v>25</v>
      </c>
      <c r="K309" s="4">
        <v>7</v>
      </c>
      <c r="L309" s="4">
        <v>19</v>
      </c>
      <c r="M309" s="4">
        <v>27</v>
      </c>
      <c r="N309" s="4">
        <v>14</v>
      </c>
      <c r="O309" s="4">
        <v>5</v>
      </c>
      <c r="P309" s="4">
        <v>10</v>
      </c>
      <c r="Q309" s="4">
        <v>30</v>
      </c>
      <c r="R309" s="4">
        <v>15</v>
      </c>
      <c r="S309" s="4">
        <v>16</v>
      </c>
      <c r="T309" s="4">
        <v>29</v>
      </c>
      <c r="U309" s="4">
        <v>8</v>
      </c>
      <c r="V309" s="4">
        <v>24</v>
      </c>
      <c r="W309" s="4">
        <v>9</v>
      </c>
      <c r="X309" s="4">
        <v>17</v>
      </c>
      <c r="Y309" s="4">
        <v>28</v>
      </c>
      <c r="Z309" s="4">
        <v>20</v>
      </c>
      <c r="AA309" s="4">
        <v>22</v>
      </c>
      <c r="AB309" s="4">
        <v>13</v>
      </c>
      <c r="AC309" s="4">
        <v>18</v>
      </c>
      <c r="AD309" s="4">
        <v>32</v>
      </c>
      <c r="AE309" s="4">
        <v>6</v>
      </c>
      <c r="AF309" s="4">
        <v>23</v>
      </c>
      <c r="AG309" s="4">
        <v>12</v>
      </c>
      <c r="AH309" s="4">
        <v>21</v>
      </c>
      <c r="AI309" s="4">
        <v>31</v>
      </c>
      <c r="AJ309" s="4">
        <v>26</v>
      </c>
      <c r="AK309" s="4">
        <v>0</v>
      </c>
      <c r="AL309" s="4">
        <v>0</v>
      </c>
    </row>
    <row r="310" spans="5:38" ht="16.149999999999999" thickBot="1" x14ac:dyDescent="0.55000000000000004">
      <c r="E310" s="101"/>
      <c r="F310" s="99"/>
      <c r="G310" s="4">
        <v>4</v>
      </c>
      <c r="H310" s="4">
        <v>3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</row>
    <row r="311" spans="5:38" x14ac:dyDescent="0.5">
      <c r="E311" s="100">
        <v>3</v>
      </c>
      <c r="F311" s="98" t="s">
        <v>18</v>
      </c>
      <c r="G311" s="4">
        <v>1</v>
      </c>
      <c r="H311" s="4">
        <v>2</v>
      </c>
      <c r="I311" s="4">
        <v>11</v>
      </c>
      <c r="J311" s="4">
        <v>25</v>
      </c>
      <c r="K311" s="4">
        <v>7</v>
      </c>
      <c r="L311" s="4">
        <v>19</v>
      </c>
      <c r="M311" s="4">
        <v>27</v>
      </c>
      <c r="N311" s="4">
        <v>14</v>
      </c>
      <c r="O311" s="4">
        <v>5</v>
      </c>
      <c r="P311" s="4">
        <v>10</v>
      </c>
      <c r="Q311" s="4">
        <v>30</v>
      </c>
      <c r="R311" s="4">
        <v>15</v>
      </c>
      <c r="S311" s="4">
        <v>16</v>
      </c>
      <c r="T311" s="4">
        <v>29</v>
      </c>
      <c r="U311" s="4">
        <v>8</v>
      </c>
      <c r="V311" s="4">
        <v>24</v>
      </c>
      <c r="W311" s="4">
        <v>9</v>
      </c>
      <c r="X311" s="4">
        <v>17</v>
      </c>
      <c r="Y311" s="4">
        <v>28</v>
      </c>
      <c r="Z311" s="4">
        <v>20</v>
      </c>
      <c r="AA311" s="4">
        <v>22</v>
      </c>
      <c r="AB311" s="4">
        <v>13</v>
      </c>
      <c r="AC311" s="4">
        <v>18</v>
      </c>
      <c r="AD311" s="4">
        <v>32</v>
      </c>
      <c r="AE311" s="4">
        <v>6</v>
      </c>
      <c r="AF311" s="4">
        <v>23</v>
      </c>
      <c r="AG311" s="4">
        <v>12</v>
      </c>
      <c r="AH311" s="4">
        <v>21</v>
      </c>
      <c r="AI311" s="4">
        <v>31</v>
      </c>
      <c r="AJ311" s="4">
        <v>26</v>
      </c>
      <c r="AK311" s="4">
        <v>0</v>
      </c>
      <c r="AL311" s="4">
        <v>0</v>
      </c>
    </row>
    <row r="312" spans="5:38" ht="16.149999999999999" thickBot="1" x14ac:dyDescent="0.55000000000000004">
      <c r="E312" s="101"/>
      <c r="F312" s="99"/>
      <c r="G312" s="4">
        <v>4</v>
      </c>
      <c r="H312" s="4">
        <v>3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</row>
    <row r="313" spans="5:38" x14ac:dyDescent="0.5">
      <c r="E313" s="100">
        <v>4</v>
      </c>
      <c r="F313" s="98" t="s">
        <v>13</v>
      </c>
      <c r="G313" s="4">
        <v>2</v>
      </c>
      <c r="H313" s="4">
        <v>11</v>
      </c>
      <c r="I313" s="4">
        <v>25</v>
      </c>
      <c r="J313" s="4">
        <v>7</v>
      </c>
      <c r="K313" s="4">
        <v>19</v>
      </c>
      <c r="L313" s="4">
        <v>27</v>
      </c>
      <c r="M313" s="4">
        <v>14</v>
      </c>
      <c r="N313" s="4">
        <v>5</v>
      </c>
      <c r="O313" s="4">
        <v>10</v>
      </c>
      <c r="P313" s="4">
        <v>30</v>
      </c>
      <c r="Q313" s="4">
        <v>15</v>
      </c>
      <c r="R313" s="4">
        <v>16</v>
      </c>
      <c r="S313" s="4">
        <v>29</v>
      </c>
      <c r="T313" s="4">
        <v>8</v>
      </c>
      <c r="U313" s="4">
        <v>24</v>
      </c>
      <c r="V313" s="4">
        <v>9</v>
      </c>
      <c r="W313" s="4">
        <v>17</v>
      </c>
      <c r="X313" s="4">
        <v>28</v>
      </c>
      <c r="Y313" s="4">
        <v>20</v>
      </c>
      <c r="Z313" s="4">
        <v>22</v>
      </c>
      <c r="AA313" s="4">
        <v>13</v>
      </c>
      <c r="AB313" s="4">
        <v>18</v>
      </c>
      <c r="AC313" s="4">
        <v>32</v>
      </c>
      <c r="AD313" s="4">
        <v>6</v>
      </c>
      <c r="AE313" s="4">
        <v>23</v>
      </c>
      <c r="AF313" s="4">
        <v>12</v>
      </c>
      <c r="AG313" s="4">
        <v>21</v>
      </c>
      <c r="AH313" s="4">
        <v>31</v>
      </c>
      <c r="AI313" s="4">
        <v>26</v>
      </c>
      <c r="AJ313" s="4">
        <v>0</v>
      </c>
      <c r="AK313" s="4">
        <v>0</v>
      </c>
      <c r="AL313" s="4">
        <v>0</v>
      </c>
    </row>
    <row r="314" spans="5:38" ht="16.149999999999999" thickBot="1" x14ac:dyDescent="0.55000000000000004">
      <c r="E314" s="101"/>
      <c r="F314" s="99"/>
      <c r="G314" s="4">
        <v>1</v>
      </c>
      <c r="H314" s="4">
        <v>4</v>
      </c>
      <c r="I314" s="4">
        <v>3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4">
        <v>0</v>
      </c>
    </row>
    <row r="315" spans="5:38" x14ac:dyDescent="0.5">
      <c r="E315" s="100">
        <v>5</v>
      </c>
      <c r="F315" s="98" t="s">
        <v>13</v>
      </c>
      <c r="G315" s="4">
        <v>11</v>
      </c>
      <c r="H315" s="4">
        <v>25</v>
      </c>
      <c r="I315" s="4">
        <v>7</v>
      </c>
      <c r="J315" s="4">
        <v>19</v>
      </c>
      <c r="K315" s="4">
        <v>27</v>
      </c>
      <c r="L315" s="4">
        <v>14</v>
      </c>
      <c r="M315" s="4">
        <v>5</v>
      </c>
      <c r="N315" s="4">
        <v>10</v>
      </c>
      <c r="O315" s="4">
        <v>30</v>
      </c>
      <c r="P315" s="4">
        <v>15</v>
      </c>
      <c r="Q315" s="4">
        <v>16</v>
      </c>
      <c r="R315" s="4">
        <v>29</v>
      </c>
      <c r="S315" s="4">
        <v>8</v>
      </c>
      <c r="T315" s="4">
        <v>24</v>
      </c>
      <c r="U315" s="4">
        <v>9</v>
      </c>
      <c r="V315" s="4">
        <v>17</v>
      </c>
      <c r="W315" s="4">
        <v>28</v>
      </c>
      <c r="X315" s="4">
        <v>20</v>
      </c>
      <c r="Y315" s="4">
        <v>22</v>
      </c>
      <c r="Z315" s="4">
        <v>13</v>
      </c>
      <c r="AA315" s="4">
        <v>18</v>
      </c>
      <c r="AB315" s="4">
        <v>32</v>
      </c>
      <c r="AC315" s="4">
        <v>6</v>
      </c>
      <c r="AD315" s="4">
        <v>23</v>
      </c>
      <c r="AE315" s="4">
        <v>12</v>
      </c>
      <c r="AF315" s="4">
        <v>21</v>
      </c>
      <c r="AG315" s="4">
        <v>31</v>
      </c>
      <c r="AH315" s="4">
        <v>26</v>
      </c>
      <c r="AI315" s="4">
        <v>0</v>
      </c>
      <c r="AJ315" s="4">
        <v>0</v>
      </c>
      <c r="AK315" s="4">
        <v>0</v>
      </c>
      <c r="AL315" s="4">
        <v>0</v>
      </c>
    </row>
    <row r="316" spans="5:38" ht="16.149999999999999" thickBot="1" x14ac:dyDescent="0.55000000000000004">
      <c r="E316" s="101"/>
      <c r="F316" s="99"/>
      <c r="G316" s="4">
        <v>2</v>
      </c>
      <c r="H316" s="4">
        <v>1</v>
      </c>
      <c r="I316" s="4">
        <v>4</v>
      </c>
      <c r="J316" s="4">
        <v>3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</row>
    <row r="318" spans="5:38" ht="16.149999999999999" thickBot="1" x14ac:dyDescent="0.55000000000000004"/>
    <row r="319" spans="5:38" x14ac:dyDescent="0.5">
      <c r="E319" s="100">
        <v>0</v>
      </c>
      <c r="F319" s="102" t="s">
        <v>11</v>
      </c>
      <c r="G319" s="4">
        <v>4</v>
      </c>
      <c r="H319" s="4">
        <v>1</v>
      </c>
      <c r="I319" s="4">
        <v>2</v>
      </c>
      <c r="J319" s="4">
        <v>3</v>
      </c>
      <c r="K319" s="4">
        <v>11</v>
      </c>
      <c r="L319" s="4">
        <v>25</v>
      </c>
      <c r="M319" s="4">
        <v>7</v>
      </c>
      <c r="N319" s="4">
        <v>19</v>
      </c>
      <c r="O319" s="4">
        <v>27</v>
      </c>
      <c r="P319" s="4">
        <v>14</v>
      </c>
      <c r="Q319" s="4">
        <v>5</v>
      </c>
      <c r="R319" s="4">
        <v>10</v>
      </c>
      <c r="S319" s="4">
        <v>30</v>
      </c>
      <c r="T319" s="4">
        <v>15</v>
      </c>
      <c r="U319" s="4">
        <v>16</v>
      </c>
      <c r="V319" s="4">
        <v>29</v>
      </c>
      <c r="W319" s="4">
        <v>8</v>
      </c>
      <c r="X319" s="4">
        <v>24</v>
      </c>
      <c r="Y319" s="4">
        <v>9</v>
      </c>
      <c r="Z319" s="4">
        <v>17</v>
      </c>
      <c r="AA319" s="4">
        <v>28</v>
      </c>
      <c r="AB319" s="4">
        <v>20</v>
      </c>
      <c r="AC319" s="4">
        <v>22</v>
      </c>
      <c r="AD319" s="4">
        <v>13</v>
      </c>
      <c r="AE319" s="4">
        <v>18</v>
      </c>
      <c r="AF319" s="4">
        <v>32</v>
      </c>
      <c r="AG319" s="4">
        <v>6</v>
      </c>
      <c r="AH319" s="4">
        <v>23</v>
      </c>
      <c r="AI319" s="4">
        <v>12</v>
      </c>
      <c r="AJ319" s="4">
        <v>21</v>
      </c>
      <c r="AK319" s="4">
        <v>31</v>
      </c>
      <c r="AL319" s="4">
        <v>26</v>
      </c>
    </row>
    <row r="320" spans="5:38" ht="16.149999999999999" thickBot="1" x14ac:dyDescent="0.55000000000000004">
      <c r="E320" s="101"/>
      <c r="F320" s="103"/>
      <c r="G320" s="4"/>
      <c r="H320" s="4"/>
      <c r="I320" s="4"/>
      <c r="J320" s="4"/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</row>
    <row r="321" spans="5:38" x14ac:dyDescent="0.5">
      <c r="E321" s="100">
        <v>1</v>
      </c>
      <c r="F321" s="98" t="s">
        <v>13</v>
      </c>
      <c r="G321" s="4">
        <v>1</v>
      </c>
      <c r="H321" s="4">
        <v>2</v>
      </c>
      <c r="I321" s="4">
        <v>3</v>
      </c>
      <c r="J321" s="4">
        <v>11</v>
      </c>
      <c r="K321" s="4">
        <v>25</v>
      </c>
      <c r="L321" s="4">
        <v>7</v>
      </c>
      <c r="M321" s="4">
        <v>19</v>
      </c>
      <c r="N321" s="4">
        <v>27</v>
      </c>
      <c r="O321" s="4">
        <v>14</v>
      </c>
      <c r="P321" s="4">
        <v>5</v>
      </c>
      <c r="Q321" s="4">
        <v>10</v>
      </c>
      <c r="R321" s="4">
        <v>30</v>
      </c>
      <c r="S321" s="4">
        <v>15</v>
      </c>
      <c r="T321" s="4">
        <v>16</v>
      </c>
      <c r="U321" s="4">
        <v>29</v>
      </c>
      <c r="V321" s="4">
        <v>8</v>
      </c>
      <c r="W321" s="4">
        <v>24</v>
      </c>
      <c r="X321" s="4">
        <v>9</v>
      </c>
      <c r="Y321" s="4">
        <v>17</v>
      </c>
      <c r="Z321" s="4">
        <v>28</v>
      </c>
      <c r="AA321" s="4">
        <v>20</v>
      </c>
      <c r="AB321" s="4">
        <v>22</v>
      </c>
      <c r="AC321" s="4">
        <v>13</v>
      </c>
      <c r="AD321" s="4">
        <v>18</v>
      </c>
      <c r="AE321" s="4">
        <v>32</v>
      </c>
      <c r="AF321" s="4">
        <v>6</v>
      </c>
      <c r="AG321" s="4">
        <v>23</v>
      </c>
      <c r="AH321" s="4">
        <v>12</v>
      </c>
      <c r="AI321" s="4">
        <v>21</v>
      </c>
      <c r="AJ321" s="4">
        <v>31</v>
      </c>
      <c r="AK321" s="4">
        <v>26</v>
      </c>
      <c r="AL321" s="4">
        <v>0</v>
      </c>
    </row>
    <row r="322" spans="5:38" ht="16.149999999999999" thickBot="1" x14ac:dyDescent="0.55000000000000004">
      <c r="E322" s="101"/>
      <c r="F322" s="99"/>
      <c r="G322" s="4">
        <v>4</v>
      </c>
      <c r="H322" s="4">
        <v>0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</row>
    <row r="323" spans="5:38" x14ac:dyDescent="0.5">
      <c r="E323" s="100">
        <v>2</v>
      </c>
      <c r="F323" s="98" t="s">
        <v>13</v>
      </c>
      <c r="G323" s="4">
        <v>2</v>
      </c>
      <c r="H323" s="4">
        <v>3</v>
      </c>
      <c r="I323" s="4">
        <v>11</v>
      </c>
      <c r="J323" s="4">
        <v>25</v>
      </c>
      <c r="K323" s="4">
        <v>7</v>
      </c>
      <c r="L323" s="4">
        <v>19</v>
      </c>
      <c r="M323" s="4">
        <v>27</v>
      </c>
      <c r="N323" s="4">
        <v>14</v>
      </c>
      <c r="O323" s="4">
        <v>5</v>
      </c>
      <c r="P323" s="4">
        <v>10</v>
      </c>
      <c r="Q323" s="4">
        <v>30</v>
      </c>
      <c r="R323" s="4">
        <v>15</v>
      </c>
      <c r="S323" s="4">
        <v>16</v>
      </c>
      <c r="T323" s="4">
        <v>29</v>
      </c>
      <c r="U323" s="4">
        <v>8</v>
      </c>
      <c r="V323" s="4">
        <v>24</v>
      </c>
      <c r="W323" s="4">
        <v>9</v>
      </c>
      <c r="X323" s="4">
        <v>17</v>
      </c>
      <c r="Y323" s="4">
        <v>28</v>
      </c>
      <c r="Z323" s="4">
        <v>20</v>
      </c>
      <c r="AA323" s="4">
        <v>22</v>
      </c>
      <c r="AB323" s="4">
        <v>13</v>
      </c>
      <c r="AC323" s="4">
        <v>18</v>
      </c>
      <c r="AD323" s="4">
        <v>32</v>
      </c>
      <c r="AE323" s="4">
        <v>6</v>
      </c>
      <c r="AF323" s="4">
        <v>23</v>
      </c>
      <c r="AG323" s="4">
        <v>12</v>
      </c>
      <c r="AH323" s="4">
        <v>21</v>
      </c>
      <c r="AI323" s="4">
        <v>31</v>
      </c>
      <c r="AJ323" s="4">
        <v>26</v>
      </c>
      <c r="AK323" s="4">
        <v>0</v>
      </c>
      <c r="AL323" s="4">
        <v>0</v>
      </c>
    </row>
    <row r="324" spans="5:38" ht="16.149999999999999" thickBot="1" x14ac:dyDescent="0.55000000000000004">
      <c r="E324" s="101"/>
      <c r="F324" s="99"/>
      <c r="G324" s="4">
        <v>1</v>
      </c>
      <c r="H324" s="4">
        <v>4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</row>
    <row r="325" spans="5:38" x14ac:dyDescent="0.5">
      <c r="E325" s="100">
        <v>3</v>
      </c>
      <c r="F325" s="98" t="s">
        <v>13</v>
      </c>
      <c r="G325" s="4">
        <v>3</v>
      </c>
      <c r="H325" s="4">
        <v>11</v>
      </c>
      <c r="I325" s="4">
        <v>25</v>
      </c>
      <c r="J325" s="4">
        <v>7</v>
      </c>
      <c r="K325" s="4">
        <v>19</v>
      </c>
      <c r="L325" s="4">
        <v>27</v>
      </c>
      <c r="M325" s="4">
        <v>14</v>
      </c>
      <c r="N325" s="4">
        <v>5</v>
      </c>
      <c r="O325" s="4">
        <v>10</v>
      </c>
      <c r="P325" s="4">
        <v>30</v>
      </c>
      <c r="Q325" s="4">
        <v>15</v>
      </c>
      <c r="R325" s="4">
        <v>16</v>
      </c>
      <c r="S325" s="4">
        <v>29</v>
      </c>
      <c r="T325" s="4">
        <v>8</v>
      </c>
      <c r="U325" s="4">
        <v>24</v>
      </c>
      <c r="V325" s="4">
        <v>9</v>
      </c>
      <c r="W325" s="4">
        <v>17</v>
      </c>
      <c r="X325" s="4">
        <v>28</v>
      </c>
      <c r="Y325" s="4">
        <v>20</v>
      </c>
      <c r="Z325" s="4">
        <v>22</v>
      </c>
      <c r="AA325" s="4">
        <v>13</v>
      </c>
      <c r="AB325" s="4">
        <v>18</v>
      </c>
      <c r="AC325" s="4">
        <v>32</v>
      </c>
      <c r="AD325" s="4">
        <v>6</v>
      </c>
      <c r="AE325" s="4">
        <v>23</v>
      </c>
      <c r="AF325" s="4">
        <v>12</v>
      </c>
      <c r="AG325" s="4">
        <v>21</v>
      </c>
      <c r="AH325" s="4">
        <v>31</v>
      </c>
      <c r="AI325" s="4">
        <v>26</v>
      </c>
      <c r="AJ325" s="4">
        <v>0</v>
      </c>
      <c r="AK325" s="4">
        <v>0</v>
      </c>
      <c r="AL325" s="4">
        <v>0</v>
      </c>
    </row>
    <row r="326" spans="5:38" ht="16.149999999999999" thickBot="1" x14ac:dyDescent="0.55000000000000004">
      <c r="E326" s="101"/>
      <c r="F326" s="99"/>
      <c r="G326" s="4">
        <v>2</v>
      </c>
      <c r="H326" s="4">
        <v>1</v>
      </c>
      <c r="I326" s="4">
        <v>4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</row>
    <row r="327" spans="5:38" x14ac:dyDescent="0.5">
      <c r="E327" s="100">
        <v>4</v>
      </c>
      <c r="F327" s="98" t="s">
        <v>13</v>
      </c>
      <c r="G327" s="4">
        <v>11</v>
      </c>
      <c r="H327" s="4">
        <v>25</v>
      </c>
      <c r="I327" s="4">
        <v>7</v>
      </c>
      <c r="J327" s="4">
        <v>19</v>
      </c>
      <c r="K327" s="4">
        <v>27</v>
      </c>
      <c r="L327" s="4">
        <v>14</v>
      </c>
      <c r="M327" s="4">
        <v>5</v>
      </c>
      <c r="N327" s="4">
        <v>10</v>
      </c>
      <c r="O327" s="4">
        <v>30</v>
      </c>
      <c r="P327" s="4">
        <v>15</v>
      </c>
      <c r="Q327" s="4">
        <v>16</v>
      </c>
      <c r="R327" s="4">
        <v>29</v>
      </c>
      <c r="S327" s="4">
        <v>8</v>
      </c>
      <c r="T327" s="4">
        <v>24</v>
      </c>
      <c r="U327" s="4">
        <v>9</v>
      </c>
      <c r="V327" s="4">
        <v>17</v>
      </c>
      <c r="W327" s="4">
        <v>28</v>
      </c>
      <c r="X327" s="4">
        <v>20</v>
      </c>
      <c r="Y327" s="4">
        <v>22</v>
      </c>
      <c r="Z327" s="4">
        <v>13</v>
      </c>
      <c r="AA327" s="4">
        <v>18</v>
      </c>
      <c r="AB327" s="4">
        <v>32</v>
      </c>
      <c r="AC327" s="4">
        <v>6</v>
      </c>
      <c r="AD327" s="4">
        <v>23</v>
      </c>
      <c r="AE327" s="4">
        <v>12</v>
      </c>
      <c r="AF327" s="4">
        <v>21</v>
      </c>
      <c r="AG327" s="4">
        <v>31</v>
      </c>
      <c r="AH327" s="4">
        <v>26</v>
      </c>
      <c r="AI327" s="4">
        <v>0</v>
      </c>
      <c r="AJ327" s="4">
        <v>0</v>
      </c>
      <c r="AK327" s="4">
        <v>0</v>
      </c>
      <c r="AL327" s="4">
        <v>0</v>
      </c>
    </row>
    <row r="328" spans="5:38" ht="16.149999999999999" thickBot="1" x14ac:dyDescent="0.55000000000000004">
      <c r="E328" s="101"/>
      <c r="F328" s="99"/>
      <c r="G328" s="4">
        <v>3</v>
      </c>
      <c r="H328" s="4">
        <v>2</v>
      </c>
      <c r="I328" s="4">
        <v>1</v>
      </c>
      <c r="J328" s="4">
        <v>4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</row>
    <row r="330" spans="5:38" ht="16.149999999999999" thickBot="1" x14ac:dyDescent="0.55000000000000004"/>
    <row r="331" spans="5:38" x14ac:dyDescent="0.5">
      <c r="E331" s="100">
        <v>0</v>
      </c>
      <c r="F331" s="102" t="s">
        <v>11</v>
      </c>
      <c r="G331" s="4">
        <v>4</v>
      </c>
      <c r="H331" s="4">
        <v>1</v>
      </c>
      <c r="I331" s="4">
        <v>3</v>
      </c>
      <c r="J331" s="4">
        <v>2</v>
      </c>
      <c r="K331" s="4">
        <v>11</v>
      </c>
      <c r="L331" s="4">
        <v>25</v>
      </c>
      <c r="M331" s="4">
        <v>7</v>
      </c>
      <c r="N331" s="4">
        <v>19</v>
      </c>
      <c r="O331" s="4">
        <v>27</v>
      </c>
      <c r="P331" s="4">
        <v>14</v>
      </c>
      <c r="Q331" s="4">
        <v>5</v>
      </c>
      <c r="R331" s="4">
        <v>10</v>
      </c>
      <c r="S331" s="4">
        <v>30</v>
      </c>
      <c r="T331" s="4">
        <v>15</v>
      </c>
      <c r="U331" s="4">
        <v>16</v>
      </c>
      <c r="V331" s="4">
        <v>29</v>
      </c>
      <c r="W331" s="4">
        <v>8</v>
      </c>
      <c r="X331" s="4">
        <v>24</v>
      </c>
      <c r="Y331" s="4">
        <v>9</v>
      </c>
      <c r="Z331" s="4">
        <v>17</v>
      </c>
      <c r="AA331" s="4">
        <v>28</v>
      </c>
      <c r="AB331" s="4">
        <v>20</v>
      </c>
      <c r="AC331" s="4">
        <v>22</v>
      </c>
      <c r="AD331" s="4">
        <v>13</v>
      </c>
      <c r="AE331" s="4">
        <v>18</v>
      </c>
      <c r="AF331" s="4">
        <v>32</v>
      </c>
      <c r="AG331" s="4">
        <v>6</v>
      </c>
      <c r="AH331" s="4">
        <v>23</v>
      </c>
      <c r="AI331" s="4">
        <v>12</v>
      </c>
      <c r="AJ331" s="4">
        <v>21</v>
      </c>
      <c r="AK331" s="4">
        <v>31</v>
      </c>
      <c r="AL331" s="4">
        <v>26</v>
      </c>
    </row>
    <row r="332" spans="5:38" ht="16.149999999999999" thickBot="1" x14ac:dyDescent="0.55000000000000004">
      <c r="E332" s="101"/>
      <c r="F332" s="103"/>
      <c r="G332" s="4"/>
      <c r="H332" s="4"/>
      <c r="I332" s="4"/>
      <c r="J332" s="4"/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4">
        <v>0</v>
      </c>
    </row>
    <row r="333" spans="5:38" x14ac:dyDescent="0.5">
      <c r="E333" s="100">
        <v>1</v>
      </c>
      <c r="F333" s="98" t="s">
        <v>13</v>
      </c>
      <c r="G333" s="4">
        <v>1</v>
      </c>
      <c r="H333" s="4">
        <v>3</v>
      </c>
      <c r="I333" s="4">
        <v>2</v>
      </c>
      <c r="J333" s="4">
        <v>11</v>
      </c>
      <c r="K333" s="4">
        <v>25</v>
      </c>
      <c r="L333" s="4">
        <v>7</v>
      </c>
      <c r="M333" s="4">
        <v>19</v>
      </c>
      <c r="N333" s="4">
        <v>27</v>
      </c>
      <c r="O333" s="4">
        <v>14</v>
      </c>
      <c r="P333" s="4">
        <v>5</v>
      </c>
      <c r="Q333" s="4">
        <v>10</v>
      </c>
      <c r="R333" s="4">
        <v>30</v>
      </c>
      <c r="S333" s="4">
        <v>15</v>
      </c>
      <c r="T333" s="4">
        <v>16</v>
      </c>
      <c r="U333" s="4">
        <v>29</v>
      </c>
      <c r="V333" s="4">
        <v>8</v>
      </c>
      <c r="W333" s="4">
        <v>24</v>
      </c>
      <c r="X333" s="4">
        <v>9</v>
      </c>
      <c r="Y333" s="4">
        <v>17</v>
      </c>
      <c r="Z333" s="4">
        <v>28</v>
      </c>
      <c r="AA333" s="4">
        <v>20</v>
      </c>
      <c r="AB333" s="4">
        <v>22</v>
      </c>
      <c r="AC333" s="4">
        <v>13</v>
      </c>
      <c r="AD333" s="4">
        <v>18</v>
      </c>
      <c r="AE333" s="4">
        <v>32</v>
      </c>
      <c r="AF333" s="4">
        <v>6</v>
      </c>
      <c r="AG333" s="4">
        <v>23</v>
      </c>
      <c r="AH333" s="4">
        <v>12</v>
      </c>
      <c r="AI333" s="4">
        <v>21</v>
      </c>
      <c r="AJ333" s="4">
        <v>31</v>
      </c>
      <c r="AK333" s="4">
        <v>26</v>
      </c>
      <c r="AL333" s="4">
        <v>0</v>
      </c>
    </row>
    <row r="334" spans="5:38" ht="16.149999999999999" thickBot="1" x14ac:dyDescent="0.55000000000000004">
      <c r="E334" s="101"/>
      <c r="F334" s="99"/>
      <c r="G334" s="4">
        <v>4</v>
      </c>
      <c r="H334" s="4">
        <v>0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4">
        <v>0</v>
      </c>
    </row>
    <row r="335" spans="5:38" x14ac:dyDescent="0.5">
      <c r="E335" s="100">
        <v>2</v>
      </c>
      <c r="F335" s="98" t="s">
        <v>13</v>
      </c>
      <c r="G335" s="4">
        <v>3</v>
      </c>
      <c r="H335" s="4">
        <v>2</v>
      </c>
      <c r="I335" s="4">
        <v>11</v>
      </c>
      <c r="J335" s="4">
        <v>25</v>
      </c>
      <c r="K335" s="4">
        <v>7</v>
      </c>
      <c r="L335" s="4">
        <v>19</v>
      </c>
      <c r="M335" s="4">
        <v>27</v>
      </c>
      <c r="N335" s="4">
        <v>14</v>
      </c>
      <c r="O335" s="4">
        <v>5</v>
      </c>
      <c r="P335" s="4">
        <v>10</v>
      </c>
      <c r="Q335" s="4">
        <v>30</v>
      </c>
      <c r="R335" s="4">
        <v>15</v>
      </c>
      <c r="S335" s="4">
        <v>16</v>
      </c>
      <c r="T335" s="4">
        <v>29</v>
      </c>
      <c r="U335" s="4">
        <v>8</v>
      </c>
      <c r="V335" s="4">
        <v>24</v>
      </c>
      <c r="W335" s="4">
        <v>9</v>
      </c>
      <c r="X335" s="4">
        <v>17</v>
      </c>
      <c r="Y335" s="4">
        <v>28</v>
      </c>
      <c r="Z335" s="4">
        <v>20</v>
      </c>
      <c r="AA335" s="4">
        <v>22</v>
      </c>
      <c r="AB335" s="4">
        <v>13</v>
      </c>
      <c r="AC335" s="4">
        <v>18</v>
      </c>
      <c r="AD335" s="4">
        <v>32</v>
      </c>
      <c r="AE335" s="4">
        <v>6</v>
      </c>
      <c r="AF335" s="4">
        <v>23</v>
      </c>
      <c r="AG335" s="4">
        <v>12</v>
      </c>
      <c r="AH335" s="4">
        <v>21</v>
      </c>
      <c r="AI335" s="4">
        <v>31</v>
      </c>
      <c r="AJ335" s="4">
        <v>26</v>
      </c>
      <c r="AK335" s="4">
        <v>0</v>
      </c>
      <c r="AL335" s="4">
        <v>0</v>
      </c>
    </row>
    <row r="336" spans="5:38" ht="16.149999999999999" thickBot="1" x14ac:dyDescent="0.55000000000000004">
      <c r="E336" s="101"/>
      <c r="F336" s="99"/>
      <c r="G336" s="4">
        <v>1</v>
      </c>
      <c r="H336" s="4">
        <v>4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4">
        <v>0</v>
      </c>
    </row>
    <row r="337" spans="5:38" x14ac:dyDescent="0.5">
      <c r="E337" s="100">
        <v>3</v>
      </c>
      <c r="F337" s="98" t="s">
        <v>18</v>
      </c>
      <c r="G337" s="4">
        <v>2</v>
      </c>
      <c r="H337" s="4">
        <v>3</v>
      </c>
      <c r="I337" s="4">
        <v>11</v>
      </c>
      <c r="J337" s="4">
        <v>25</v>
      </c>
      <c r="K337" s="4">
        <v>7</v>
      </c>
      <c r="L337" s="4">
        <v>19</v>
      </c>
      <c r="M337" s="4">
        <v>27</v>
      </c>
      <c r="N337" s="4">
        <v>14</v>
      </c>
      <c r="O337" s="4">
        <v>5</v>
      </c>
      <c r="P337" s="4">
        <v>10</v>
      </c>
      <c r="Q337" s="4">
        <v>30</v>
      </c>
      <c r="R337" s="4">
        <v>15</v>
      </c>
      <c r="S337" s="4">
        <v>16</v>
      </c>
      <c r="T337" s="4">
        <v>29</v>
      </c>
      <c r="U337" s="4">
        <v>8</v>
      </c>
      <c r="V337" s="4">
        <v>24</v>
      </c>
      <c r="W337" s="4">
        <v>9</v>
      </c>
      <c r="X337" s="4">
        <v>17</v>
      </c>
      <c r="Y337" s="4">
        <v>28</v>
      </c>
      <c r="Z337" s="4">
        <v>20</v>
      </c>
      <c r="AA337" s="4">
        <v>22</v>
      </c>
      <c r="AB337" s="4">
        <v>13</v>
      </c>
      <c r="AC337" s="4">
        <v>18</v>
      </c>
      <c r="AD337" s="4">
        <v>32</v>
      </c>
      <c r="AE337" s="4">
        <v>6</v>
      </c>
      <c r="AF337" s="4">
        <v>23</v>
      </c>
      <c r="AG337" s="4">
        <v>12</v>
      </c>
      <c r="AH337" s="4">
        <v>21</v>
      </c>
      <c r="AI337" s="4">
        <v>31</v>
      </c>
      <c r="AJ337" s="4">
        <v>26</v>
      </c>
      <c r="AK337" s="4">
        <v>0</v>
      </c>
      <c r="AL337" s="4">
        <v>0</v>
      </c>
    </row>
    <row r="338" spans="5:38" ht="16.149999999999999" thickBot="1" x14ac:dyDescent="0.55000000000000004">
      <c r="E338" s="101"/>
      <c r="F338" s="99"/>
      <c r="G338" s="4">
        <v>1</v>
      </c>
      <c r="H338" s="4">
        <v>4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4">
        <v>0</v>
      </c>
    </row>
    <row r="339" spans="5:38" x14ac:dyDescent="0.5">
      <c r="E339" s="100">
        <v>4</v>
      </c>
      <c r="F339" s="98" t="s">
        <v>13</v>
      </c>
      <c r="G339" s="4">
        <v>3</v>
      </c>
      <c r="H339" s="4">
        <v>11</v>
      </c>
      <c r="I339" s="4">
        <v>25</v>
      </c>
      <c r="J339" s="4">
        <v>7</v>
      </c>
      <c r="K339" s="4">
        <v>19</v>
      </c>
      <c r="L339" s="4">
        <v>27</v>
      </c>
      <c r="M339" s="4">
        <v>14</v>
      </c>
      <c r="N339" s="4">
        <v>5</v>
      </c>
      <c r="O339" s="4">
        <v>10</v>
      </c>
      <c r="P339" s="4">
        <v>30</v>
      </c>
      <c r="Q339" s="4">
        <v>15</v>
      </c>
      <c r="R339" s="4">
        <v>16</v>
      </c>
      <c r="S339" s="4">
        <v>29</v>
      </c>
      <c r="T339" s="4">
        <v>8</v>
      </c>
      <c r="U339" s="4">
        <v>24</v>
      </c>
      <c r="V339" s="4">
        <v>9</v>
      </c>
      <c r="W339" s="4">
        <v>17</v>
      </c>
      <c r="X339" s="4">
        <v>28</v>
      </c>
      <c r="Y339" s="4">
        <v>20</v>
      </c>
      <c r="Z339" s="4">
        <v>22</v>
      </c>
      <c r="AA339" s="4">
        <v>13</v>
      </c>
      <c r="AB339" s="4">
        <v>18</v>
      </c>
      <c r="AC339" s="4">
        <v>32</v>
      </c>
      <c r="AD339" s="4">
        <v>6</v>
      </c>
      <c r="AE339" s="4">
        <v>23</v>
      </c>
      <c r="AF339" s="4">
        <v>12</v>
      </c>
      <c r="AG339" s="4">
        <v>21</v>
      </c>
      <c r="AH339" s="4">
        <v>31</v>
      </c>
      <c r="AI339" s="4">
        <v>26</v>
      </c>
      <c r="AJ339" s="4">
        <v>0</v>
      </c>
      <c r="AK339" s="4">
        <v>0</v>
      </c>
      <c r="AL339" s="4">
        <v>0</v>
      </c>
    </row>
    <row r="340" spans="5:38" ht="16.149999999999999" thickBot="1" x14ac:dyDescent="0.55000000000000004">
      <c r="E340" s="101"/>
      <c r="F340" s="99"/>
      <c r="G340" s="4">
        <v>2</v>
      </c>
      <c r="H340" s="4">
        <v>1</v>
      </c>
      <c r="I340" s="4">
        <v>4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4">
        <v>0</v>
      </c>
    </row>
    <row r="341" spans="5:38" x14ac:dyDescent="0.5">
      <c r="E341" s="100">
        <v>5</v>
      </c>
      <c r="F341" s="98" t="s">
        <v>13</v>
      </c>
      <c r="G341" s="4">
        <v>11</v>
      </c>
      <c r="H341" s="4">
        <v>25</v>
      </c>
      <c r="I341" s="4">
        <v>7</v>
      </c>
      <c r="J341" s="4">
        <v>19</v>
      </c>
      <c r="K341" s="4">
        <v>27</v>
      </c>
      <c r="L341" s="4">
        <v>14</v>
      </c>
      <c r="M341" s="4">
        <v>5</v>
      </c>
      <c r="N341" s="4">
        <v>10</v>
      </c>
      <c r="O341" s="4">
        <v>30</v>
      </c>
      <c r="P341" s="4">
        <v>15</v>
      </c>
      <c r="Q341" s="4">
        <v>16</v>
      </c>
      <c r="R341" s="4">
        <v>29</v>
      </c>
      <c r="S341" s="4">
        <v>8</v>
      </c>
      <c r="T341" s="4">
        <v>24</v>
      </c>
      <c r="U341" s="4">
        <v>9</v>
      </c>
      <c r="V341" s="4">
        <v>17</v>
      </c>
      <c r="W341" s="4">
        <v>28</v>
      </c>
      <c r="X341" s="4">
        <v>20</v>
      </c>
      <c r="Y341" s="4">
        <v>22</v>
      </c>
      <c r="Z341" s="4">
        <v>13</v>
      </c>
      <c r="AA341" s="4">
        <v>18</v>
      </c>
      <c r="AB341" s="4">
        <v>32</v>
      </c>
      <c r="AC341" s="4">
        <v>6</v>
      </c>
      <c r="AD341" s="4">
        <v>23</v>
      </c>
      <c r="AE341" s="4">
        <v>12</v>
      </c>
      <c r="AF341" s="4">
        <v>21</v>
      </c>
      <c r="AG341" s="4">
        <v>31</v>
      </c>
      <c r="AH341" s="4">
        <v>26</v>
      </c>
      <c r="AI341" s="4">
        <v>0</v>
      </c>
      <c r="AJ341" s="4">
        <v>0</v>
      </c>
      <c r="AK341" s="4">
        <v>0</v>
      </c>
      <c r="AL341" s="4">
        <v>0</v>
      </c>
    </row>
    <row r="342" spans="5:38" ht="16.149999999999999" thickBot="1" x14ac:dyDescent="0.55000000000000004">
      <c r="E342" s="101"/>
      <c r="F342" s="99"/>
      <c r="G342" s="4">
        <v>3</v>
      </c>
      <c r="H342" s="4">
        <v>2</v>
      </c>
      <c r="I342" s="4">
        <v>1</v>
      </c>
      <c r="J342" s="4">
        <v>4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4">
        <v>0</v>
      </c>
    </row>
    <row r="344" spans="5:38" ht="16.149999999999999" thickBot="1" x14ac:dyDescent="0.55000000000000004"/>
    <row r="345" spans="5:38" x14ac:dyDescent="0.5">
      <c r="E345" s="100">
        <v>0</v>
      </c>
      <c r="F345" s="102" t="s">
        <v>11</v>
      </c>
      <c r="G345" s="4">
        <v>4</v>
      </c>
      <c r="H345" s="4">
        <v>2</v>
      </c>
      <c r="I345" s="4">
        <v>1</v>
      </c>
      <c r="J345" s="4">
        <v>3</v>
      </c>
      <c r="K345" s="4">
        <v>11</v>
      </c>
      <c r="L345" s="4">
        <v>25</v>
      </c>
      <c r="M345" s="4">
        <v>7</v>
      </c>
      <c r="N345" s="4">
        <v>19</v>
      </c>
      <c r="O345" s="4">
        <v>27</v>
      </c>
      <c r="P345" s="4">
        <v>14</v>
      </c>
      <c r="Q345" s="4">
        <v>5</v>
      </c>
      <c r="R345" s="4">
        <v>10</v>
      </c>
      <c r="S345" s="4">
        <v>30</v>
      </c>
      <c r="T345" s="4">
        <v>15</v>
      </c>
      <c r="U345" s="4">
        <v>16</v>
      </c>
      <c r="V345" s="4">
        <v>29</v>
      </c>
      <c r="W345" s="4">
        <v>8</v>
      </c>
      <c r="X345" s="4">
        <v>24</v>
      </c>
      <c r="Y345" s="4">
        <v>9</v>
      </c>
      <c r="Z345" s="4">
        <v>17</v>
      </c>
      <c r="AA345" s="4">
        <v>28</v>
      </c>
      <c r="AB345" s="4">
        <v>20</v>
      </c>
      <c r="AC345" s="4">
        <v>22</v>
      </c>
      <c r="AD345" s="4">
        <v>13</v>
      </c>
      <c r="AE345" s="4">
        <v>18</v>
      </c>
      <c r="AF345" s="4">
        <v>32</v>
      </c>
      <c r="AG345" s="4">
        <v>6</v>
      </c>
      <c r="AH345" s="4">
        <v>23</v>
      </c>
      <c r="AI345" s="4">
        <v>12</v>
      </c>
      <c r="AJ345" s="4">
        <v>21</v>
      </c>
      <c r="AK345" s="4">
        <v>31</v>
      </c>
      <c r="AL345" s="4">
        <v>26</v>
      </c>
    </row>
    <row r="346" spans="5:38" ht="16.149999999999999" thickBot="1" x14ac:dyDescent="0.55000000000000004">
      <c r="E346" s="101"/>
      <c r="F346" s="103"/>
      <c r="G346" s="4"/>
      <c r="H346" s="4"/>
      <c r="I346" s="4"/>
      <c r="J346" s="4"/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4">
        <v>0</v>
      </c>
    </row>
    <row r="347" spans="5:38" x14ac:dyDescent="0.5">
      <c r="E347" s="100">
        <v>1</v>
      </c>
      <c r="F347" s="98" t="s">
        <v>13</v>
      </c>
      <c r="G347" s="4">
        <v>2</v>
      </c>
      <c r="H347" s="4">
        <v>1</v>
      </c>
      <c r="I347" s="4">
        <v>3</v>
      </c>
      <c r="J347" s="4">
        <v>11</v>
      </c>
      <c r="K347" s="4">
        <v>25</v>
      </c>
      <c r="L347" s="4">
        <v>7</v>
      </c>
      <c r="M347" s="4">
        <v>19</v>
      </c>
      <c r="N347" s="4">
        <v>27</v>
      </c>
      <c r="O347" s="4">
        <v>14</v>
      </c>
      <c r="P347" s="4">
        <v>5</v>
      </c>
      <c r="Q347" s="4">
        <v>10</v>
      </c>
      <c r="R347" s="4">
        <v>30</v>
      </c>
      <c r="S347" s="4">
        <v>15</v>
      </c>
      <c r="T347" s="4">
        <v>16</v>
      </c>
      <c r="U347" s="4">
        <v>29</v>
      </c>
      <c r="V347" s="4">
        <v>8</v>
      </c>
      <c r="W347" s="4">
        <v>24</v>
      </c>
      <c r="X347" s="4">
        <v>9</v>
      </c>
      <c r="Y347" s="4">
        <v>17</v>
      </c>
      <c r="Z347" s="4">
        <v>28</v>
      </c>
      <c r="AA347" s="4">
        <v>20</v>
      </c>
      <c r="AB347" s="4">
        <v>22</v>
      </c>
      <c r="AC347" s="4">
        <v>13</v>
      </c>
      <c r="AD347" s="4">
        <v>18</v>
      </c>
      <c r="AE347" s="4">
        <v>32</v>
      </c>
      <c r="AF347" s="4">
        <v>6</v>
      </c>
      <c r="AG347" s="4">
        <v>23</v>
      </c>
      <c r="AH347" s="4">
        <v>12</v>
      </c>
      <c r="AI347" s="4">
        <v>21</v>
      </c>
      <c r="AJ347" s="4">
        <v>31</v>
      </c>
      <c r="AK347" s="4">
        <v>26</v>
      </c>
      <c r="AL347" s="4">
        <v>0</v>
      </c>
    </row>
    <row r="348" spans="5:38" ht="16.149999999999999" thickBot="1" x14ac:dyDescent="0.55000000000000004">
      <c r="E348" s="101"/>
      <c r="F348" s="99"/>
      <c r="G348" s="4">
        <v>4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4">
        <v>0</v>
      </c>
    </row>
    <row r="349" spans="5:38" x14ac:dyDescent="0.5">
      <c r="E349" s="100">
        <v>2</v>
      </c>
      <c r="F349" s="98" t="s">
        <v>18</v>
      </c>
      <c r="G349" s="4">
        <v>1</v>
      </c>
      <c r="H349" s="4">
        <v>2</v>
      </c>
      <c r="I349" s="4">
        <v>3</v>
      </c>
      <c r="J349" s="4">
        <v>11</v>
      </c>
      <c r="K349" s="4">
        <v>25</v>
      </c>
      <c r="L349" s="4">
        <v>7</v>
      </c>
      <c r="M349" s="4">
        <v>19</v>
      </c>
      <c r="N349" s="4">
        <v>27</v>
      </c>
      <c r="O349" s="4">
        <v>14</v>
      </c>
      <c r="P349" s="4">
        <v>5</v>
      </c>
      <c r="Q349" s="4">
        <v>10</v>
      </c>
      <c r="R349" s="4">
        <v>30</v>
      </c>
      <c r="S349" s="4">
        <v>15</v>
      </c>
      <c r="T349" s="4">
        <v>16</v>
      </c>
      <c r="U349" s="4">
        <v>29</v>
      </c>
      <c r="V349" s="4">
        <v>8</v>
      </c>
      <c r="W349" s="4">
        <v>24</v>
      </c>
      <c r="X349" s="4">
        <v>9</v>
      </c>
      <c r="Y349" s="4">
        <v>17</v>
      </c>
      <c r="Z349" s="4">
        <v>28</v>
      </c>
      <c r="AA349" s="4">
        <v>20</v>
      </c>
      <c r="AB349" s="4">
        <v>22</v>
      </c>
      <c r="AC349" s="4">
        <v>13</v>
      </c>
      <c r="AD349" s="4">
        <v>18</v>
      </c>
      <c r="AE349" s="4">
        <v>32</v>
      </c>
      <c r="AF349" s="4">
        <v>6</v>
      </c>
      <c r="AG349" s="4">
        <v>23</v>
      </c>
      <c r="AH349" s="4">
        <v>12</v>
      </c>
      <c r="AI349" s="4">
        <v>21</v>
      </c>
      <c r="AJ349" s="4">
        <v>31</v>
      </c>
      <c r="AK349" s="4">
        <v>26</v>
      </c>
      <c r="AL349" s="4">
        <v>0</v>
      </c>
    </row>
    <row r="350" spans="5:38" ht="16.149999999999999" thickBot="1" x14ac:dyDescent="0.55000000000000004">
      <c r="E350" s="101"/>
      <c r="F350" s="99"/>
      <c r="G350" s="4">
        <v>4</v>
      </c>
      <c r="H350" s="4">
        <v>0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0</v>
      </c>
      <c r="Z350" s="4">
        <v>0</v>
      </c>
      <c r="AA350" s="4">
        <v>0</v>
      </c>
      <c r="AB350" s="4">
        <v>0</v>
      </c>
      <c r="AC350" s="4">
        <v>0</v>
      </c>
      <c r="AD350" s="4">
        <v>0</v>
      </c>
      <c r="AE350" s="4">
        <v>0</v>
      </c>
      <c r="AF350" s="4">
        <v>0</v>
      </c>
      <c r="AG350" s="4">
        <v>0</v>
      </c>
      <c r="AH350" s="4">
        <v>0</v>
      </c>
      <c r="AI350" s="4">
        <v>0</v>
      </c>
      <c r="AJ350" s="4">
        <v>0</v>
      </c>
      <c r="AK350" s="4">
        <v>0</v>
      </c>
      <c r="AL350" s="4">
        <v>0</v>
      </c>
    </row>
    <row r="351" spans="5:38" x14ac:dyDescent="0.5">
      <c r="E351" s="100">
        <v>3</v>
      </c>
      <c r="F351" s="98" t="s">
        <v>13</v>
      </c>
      <c r="G351" s="4">
        <v>2</v>
      </c>
      <c r="H351" s="4">
        <v>3</v>
      </c>
      <c r="I351" s="4">
        <v>11</v>
      </c>
      <c r="J351" s="4">
        <v>25</v>
      </c>
      <c r="K351" s="4">
        <v>7</v>
      </c>
      <c r="L351" s="4">
        <v>19</v>
      </c>
      <c r="M351" s="4">
        <v>27</v>
      </c>
      <c r="N351" s="4">
        <v>14</v>
      </c>
      <c r="O351" s="4">
        <v>5</v>
      </c>
      <c r="P351" s="4">
        <v>10</v>
      </c>
      <c r="Q351" s="4">
        <v>30</v>
      </c>
      <c r="R351" s="4">
        <v>15</v>
      </c>
      <c r="S351" s="4">
        <v>16</v>
      </c>
      <c r="T351" s="4">
        <v>29</v>
      </c>
      <c r="U351" s="4">
        <v>8</v>
      </c>
      <c r="V351" s="4">
        <v>24</v>
      </c>
      <c r="W351" s="4">
        <v>9</v>
      </c>
      <c r="X351" s="4">
        <v>17</v>
      </c>
      <c r="Y351" s="4">
        <v>28</v>
      </c>
      <c r="Z351" s="4">
        <v>20</v>
      </c>
      <c r="AA351" s="4">
        <v>22</v>
      </c>
      <c r="AB351" s="4">
        <v>13</v>
      </c>
      <c r="AC351" s="4">
        <v>18</v>
      </c>
      <c r="AD351" s="4">
        <v>32</v>
      </c>
      <c r="AE351" s="4">
        <v>6</v>
      </c>
      <c r="AF351" s="4">
        <v>23</v>
      </c>
      <c r="AG351" s="4">
        <v>12</v>
      </c>
      <c r="AH351" s="4">
        <v>21</v>
      </c>
      <c r="AI351" s="4">
        <v>31</v>
      </c>
      <c r="AJ351" s="4">
        <v>26</v>
      </c>
      <c r="AK351" s="4">
        <v>0</v>
      </c>
      <c r="AL351" s="4">
        <v>0</v>
      </c>
    </row>
    <row r="352" spans="5:38" ht="16.149999999999999" thickBot="1" x14ac:dyDescent="0.55000000000000004">
      <c r="E352" s="101"/>
      <c r="F352" s="99"/>
      <c r="G352" s="4">
        <v>1</v>
      </c>
      <c r="H352" s="4">
        <v>4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0</v>
      </c>
      <c r="Z352" s="4">
        <v>0</v>
      </c>
      <c r="AA352" s="4">
        <v>0</v>
      </c>
      <c r="AB352" s="4">
        <v>0</v>
      </c>
      <c r="AC352" s="4">
        <v>0</v>
      </c>
      <c r="AD352" s="4">
        <v>0</v>
      </c>
      <c r="AE352" s="4">
        <v>0</v>
      </c>
      <c r="AF352" s="4">
        <v>0</v>
      </c>
      <c r="AG352" s="4">
        <v>0</v>
      </c>
      <c r="AH352" s="4">
        <v>0</v>
      </c>
      <c r="AI352" s="4">
        <v>0</v>
      </c>
      <c r="AJ352" s="4">
        <v>0</v>
      </c>
      <c r="AK352" s="4">
        <v>0</v>
      </c>
      <c r="AL352" s="4">
        <v>0</v>
      </c>
    </row>
    <row r="353" spans="5:38" x14ac:dyDescent="0.5">
      <c r="E353" s="100">
        <v>4</v>
      </c>
      <c r="F353" s="98" t="s">
        <v>13</v>
      </c>
      <c r="G353" s="4">
        <v>3</v>
      </c>
      <c r="H353" s="4">
        <v>11</v>
      </c>
      <c r="I353" s="4">
        <v>25</v>
      </c>
      <c r="J353" s="4">
        <v>7</v>
      </c>
      <c r="K353" s="4">
        <v>19</v>
      </c>
      <c r="L353" s="4">
        <v>27</v>
      </c>
      <c r="M353" s="4">
        <v>14</v>
      </c>
      <c r="N353" s="4">
        <v>5</v>
      </c>
      <c r="O353" s="4">
        <v>10</v>
      </c>
      <c r="P353" s="4">
        <v>30</v>
      </c>
      <c r="Q353" s="4">
        <v>15</v>
      </c>
      <c r="R353" s="4">
        <v>16</v>
      </c>
      <c r="S353" s="4">
        <v>29</v>
      </c>
      <c r="T353" s="4">
        <v>8</v>
      </c>
      <c r="U353" s="4">
        <v>24</v>
      </c>
      <c r="V353" s="4">
        <v>9</v>
      </c>
      <c r="W353" s="4">
        <v>17</v>
      </c>
      <c r="X353" s="4">
        <v>28</v>
      </c>
      <c r="Y353" s="4">
        <v>20</v>
      </c>
      <c r="Z353" s="4">
        <v>22</v>
      </c>
      <c r="AA353" s="4">
        <v>13</v>
      </c>
      <c r="AB353" s="4">
        <v>18</v>
      </c>
      <c r="AC353" s="4">
        <v>32</v>
      </c>
      <c r="AD353" s="4">
        <v>6</v>
      </c>
      <c r="AE353" s="4">
        <v>23</v>
      </c>
      <c r="AF353" s="4">
        <v>12</v>
      </c>
      <c r="AG353" s="4">
        <v>21</v>
      </c>
      <c r="AH353" s="4">
        <v>31</v>
      </c>
      <c r="AI353" s="4">
        <v>26</v>
      </c>
      <c r="AJ353" s="4">
        <v>0</v>
      </c>
      <c r="AK353" s="4">
        <v>0</v>
      </c>
      <c r="AL353" s="4">
        <v>0</v>
      </c>
    </row>
    <row r="354" spans="5:38" ht="16.149999999999999" thickBot="1" x14ac:dyDescent="0.55000000000000004">
      <c r="E354" s="101"/>
      <c r="F354" s="99"/>
      <c r="G354" s="4">
        <v>2</v>
      </c>
      <c r="H354" s="4">
        <v>1</v>
      </c>
      <c r="I354" s="4">
        <v>4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0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</row>
    <row r="355" spans="5:38" x14ac:dyDescent="0.5">
      <c r="E355" s="100">
        <v>5</v>
      </c>
      <c r="F355" s="98" t="s">
        <v>13</v>
      </c>
      <c r="G355" s="4">
        <v>11</v>
      </c>
      <c r="H355" s="4">
        <v>25</v>
      </c>
      <c r="I355" s="4">
        <v>7</v>
      </c>
      <c r="J355" s="4">
        <v>19</v>
      </c>
      <c r="K355" s="4">
        <v>27</v>
      </c>
      <c r="L355" s="4">
        <v>14</v>
      </c>
      <c r="M355" s="4">
        <v>5</v>
      </c>
      <c r="N355" s="4">
        <v>10</v>
      </c>
      <c r="O355" s="4">
        <v>30</v>
      </c>
      <c r="P355" s="4">
        <v>15</v>
      </c>
      <c r="Q355" s="4">
        <v>16</v>
      </c>
      <c r="R355" s="4">
        <v>29</v>
      </c>
      <c r="S355" s="4">
        <v>8</v>
      </c>
      <c r="T355" s="4">
        <v>24</v>
      </c>
      <c r="U355" s="4">
        <v>9</v>
      </c>
      <c r="V355" s="4">
        <v>17</v>
      </c>
      <c r="W355" s="4">
        <v>28</v>
      </c>
      <c r="X355" s="4">
        <v>20</v>
      </c>
      <c r="Y355" s="4">
        <v>22</v>
      </c>
      <c r="Z355" s="4">
        <v>13</v>
      </c>
      <c r="AA355" s="4">
        <v>18</v>
      </c>
      <c r="AB355" s="4">
        <v>32</v>
      </c>
      <c r="AC355" s="4">
        <v>6</v>
      </c>
      <c r="AD355" s="4">
        <v>23</v>
      </c>
      <c r="AE355" s="4">
        <v>12</v>
      </c>
      <c r="AF355" s="4">
        <v>21</v>
      </c>
      <c r="AG355" s="4">
        <v>31</v>
      </c>
      <c r="AH355" s="4">
        <v>26</v>
      </c>
      <c r="AI355" s="4">
        <v>0</v>
      </c>
      <c r="AJ355" s="4">
        <v>0</v>
      </c>
      <c r="AK355" s="4">
        <v>0</v>
      </c>
      <c r="AL355" s="4">
        <v>0</v>
      </c>
    </row>
    <row r="356" spans="5:38" ht="16.149999999999999" thickBot="1" x14ac:dyDescent="0.55000000000000004">
      <c r="E356" s="101"/>
      <c r="F356" s="99"/>
      <c r="G356" s="4">
        <v>3</v>
      </c>
      <c r="H356" s="4">
        <v>2</v>
      </c>
      <c r="I356" s="4">
        <v>1</v>
      </c>
      <c r="J356" s="4">
        <v>4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</row>
    <row r="358" spans="5:38" ht="16.149999999999999" thickBot="1" x14ac:dyDescent="0.55000000000000004"/>
    <row r="359" spans="5:38" x14ac:dyDescent="0.5">
      <c r="E359" s="100">
        <v>0</v>
      </c>
      <c r="F359" s="102" t="s">
        <v>11</v>
      </c>
      <c r="G359" s="4">
        <v>4</v>
      </c>
      <c r="H359" s="4">
        <v>3</v>
      </c>
      <c r="I359" s="4">
        <v>1</v>
      </c>
      <c r="J359" s="4">
        <v>2</v>
      </c>
      <c r="K359" s="4">
        <v>11</v>
      </c>
      <c r="L359" s="4">
        <v>25</v>
      </c>
      <c r="M359" s="4">
        <v>7</v>
      </c>
      <c r="N359" s="4">
        <v>19</v>
      </c>
      <c r="O359" s="4">
        <v>27</v>
      </c>
      <c r="P359" s="4">
        <v>14</v>
      </c>
      <c r="Q359" s="4">
        <v>5</v>
      </c>
      <c r="R359" s="4">
        <v>10</v>
      </c>
      <c r="S359" s="4">
        <v>30</v>
      </c>
      <c r="T359" s="4">
        <v>15</v>
      </c>
      <c r="U359" s="4">
        <v>16</v>
      </c>
      <c r="V359" s="4">
        <v>29</v>
      </c>
      <c r="W359" s="4">
        <v>8</v>
      </c>
      <c r="X359" s="4">
        <v>24</v>
      </c>
      <c r="Y359" s="4">
        <v>9</v>
      </c>
      <c r="Z359" s="4">
        <v>17</v>
      </c>
      <c r="AA359" s="4">
        <v>28</v>
      </c>
      <c r="AB359" s="4">
        <v>20</v>
      </c>
      <c r="AC359" s="4">
        <v>22</v>
      </c>
      <c r="AD359" s="4">
        <v>13</v>
      </c>
      <c r="AE359" s="4">
        <v>18</v>
      </c>
      <c r="AF359" s="4">
        <v>32</v>
      </c>
      <c r="AG359" s="4">
        <v>6</v>
      </c>
      <c r="AH359" s="4">
        <v>23</v>
      </c>
      <c r="AI359" s="4">
        <v>12</v>
      </c>
      <c r="AJ359" s="4">
        <v>21</v>
      </c>
      <c r="AK359" s="4">
        <v>31</v>
      </c>
      <c r="AL359" s="4">
        <v>26</v>
      </c>
    </row>
    <row r="360" spans="5:38" ht="16.149999999999999" thickBot="1" x14ac:dyDescent="0.55000000000000004">
      <c r="E360" s="101"/>
      <c r="F360" s="103"/>
      <c r="G360" s="4"/>
      <c r="H360" s="4"/>
      <c r="I360" s="4"/>
      <c r="J360" s="4"/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</row>
    <row r="361" spans="5:38" x14ac:dyDescent="0.5">
      <c r="E361" s="100">
        <v>1</v>
      </c>
      <c r="F361" s="98" t="s">
        <v>13</v>
      </c>
      <c r="G361" s="4">
        <v>3</v>
      </c>
      <c r="H361" s="4">
        <v>1</v>
      </c>
      <c r="I361" s="4">
        <v>2</v>
      </c>
      <c r="J361" s="4">
        <v>11</v>
      </c>
      <c r="K361" s="4">
        <v>25</v>
      </c>
      <c r="L361" s="4">
        <v>7</v>
      </c>
      <c r="M361" s="4">
        <v>19</v>
      </c>
      <c r="N361" s="4">
        <v>27</v>
      </c>
      <c r="O361" s="4">
        <v>14</v>
      </c>
      <c r="P361" s="4">
        <v>5</v>
      </c>
      <c r="Q361" s="4">
        <v>10</v>
      </c>
      <c r="R361" s="4">
        <v>30</v>
      </c>
      <c r="S361" s="4">
        <v>15</v>
      </c>
      <c r="T361" s="4">
        <v>16</v>
      </c>
      <c r="U361" s="4">
        <v>29</v>
      </c>
      <c r="V361" s="4">
        <v>8</v>
      </c>
      <c r="W361" s="4">
        <v>24</v>
      </c>
      <c r="X361" s="4">
        <v>9</v>
      </c>
      <c r="Y361" s="4">
        <v>17</v>
      </c>
      <c r="Z361" s="4">
        <v>28</v>
      </c>
      <c r="AA361" s="4">
        <v>20</v>
      </c>
      <c r="AB361" s="4">
        <v>22</v>
      </c>
      <c r="AC361" s="4">
        <v>13</v>
      </c>
      <c r="AD361" s="4">
        <v>18</v>
      </c>
      <c r="AE361" s="4">
        <v>32</v>
      </c>
      <c r="AF361" s="4">
        <v>6</v>
      </c>
      <c r="AG361" s="4">
        <v>23</v>
      </c>
      <c r="AH361" s="4">
        <v>12</v>
      </c>
      <c r="AI361" s="4">
        <v>21</v>
      </c>
      <c r="AJ361" s="4">
        <v>31</v>
      </c>
      <c r="AK361" s="4">
        <v>26</v>
      </c>
      <c r="AL361" s="4">
        <v>0</v>
      </c>
    </row>
    <row r="362" spans="5:38" ht="16.149999999999999" thickBot="1" x14ac:dyDescent="0.55000000000000004">
      <c r="E362" s="101"/>
      <c r="F362" s="99"/>
      <c r="G362" s="4">
        <v>4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</row>
    <row r="363" spans="5:38" x14ac:dyDescent="0.5">
      <c r="E363" s="100">
        <v>2</v>
      </c>
      <c r="F363" s="98" t="s">
        <v>13</v>
      </c>
      <c r="G363" s="4">
        <v>1</v>
      </c>
      <c r="H363" s="4">
        <v>2</v>
      </c>
      <c r="I363" s="4">
        <v>11</v>
      </c>
      <c r="J363" s="4">
        <v>25</v>
      </c>
      <c r="K363" s="4">
        <v>7</v>
      </c>
      <c r="L363" s="4">
        <v>19</v>
      </c>
      <c r="M363" s="4">
        <v>27</v>
      </c>
      <c r="N363" s="4">
        <v>14</v>
      </c>
      <c r="O363" s="4">
        <v>5</v>
      </c>
      <c r="P363" s="4">
        <v>10</v>
      </c>
      <c r="Q363" s="4">
        <v>30</v>
      </c>
      <c r="R363" s="4">
        <v>15</v>
      </c>
      <c r="S363" s="4">
        <v>16</v>
      </c>
      <c r="T363" s="4">
        <v>29</v>
      </c>
      <c r="U363" s="4">
        <v>8</v>
      </c>
      <c r="V363" s="4">
        <v>24</v>
      </c>
      <c r="W363" s="4">
        <v>9</v>
      </c>
      <c r="X363" s="4">
        <v>17</v>
      </c>
      <c r="Y363" s="4">
        <v>28</v>
      </c>
      <c r="Z363" s="4">
        <v>20</v>
      </c>
      <c r="AA363" s="4">
        <v>22</v>
      </c>
      <c r="AB363" s="4">
        <v>13</v>
      </c>
      <c r="AC363" s="4">
        <v>18</v>
      </c>
      <c r="AD363" s="4">
        <v>32</v>
      </c>
      <c r="AE363" s="4">
        <v>6</v>
      </c>
      <c r="AF363" s="4">
        <v>23</v>
      </c>
      <c r="AG363" s="4">
        <v>12</v>
      </c>
      <c r="AH363" s="4">
        <v>21</v>
      </c>
      <c r="AI363" s="4">
        <v>31</v>
      </c>
      <c r="AJ363" s="4">
        <v>26</v>
      </c>
      <c r="AK363" s="4">
        <v>0</v>
      </c>
      <c r="AL363" s="4">
        <v>0</v>
      </c>
    </row>
    <row r="364" spans="5:38" ht="16.149999999999999" thickBot="1" x14ac:dyDescent="0.55000000000000004">
      <c r="E364" s="101"/>
      <c r="F364" s="99"/>
      <c r="G364" s="4">
        <v>3</v>
      </c>
      <c r="H364" s="4">
        <v>4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</row>
    <row r="365" spans="5:38" x14ac:dyDescent="0.5">
      <c r="E365" s="100">
        <v>3</v>
      </c>
      <c r="F365" s="98" t="s">
        <v>17</v>
      </c>
      <c r="G365" s="4">
        <v>1</v>
      </c>
      <c r="H365" s="4">
        <v>2</v>
      </c>
      <c r="I365" s="4">
        <v>11</v>
      </c>
      <c r="J365" s="4">
        <v>25</v>
      </c>
      <c r="K365" s="4">
        <v>7</v>
      </c>
      <c r="L365" s="4">
        <v>19</v>
      </c>
      <c r="M365" s="4">
        <v>27</v>
      </c>
      <c r="N365" s="4">
        <v>14</v>
      </c>
      <c r="O365" s="4">
        <v>5</v>
      </c>
      <c r="P365" s="4">
        <v>10</v>
      </c>
      <c r="Q365" s="4">
        <v>30</v>
      </c>
      <c r="R365" s="4">
        <v>15</v>
      </c>
      <c r="S365" s="4">
        <v>16</v>
      </c>
      <c r="T365" s="4">
        <v>29</v>
      </c>
      <c r="U365" s="4">
        <v>8</v>
      </c>
      <c r="V365" s="4">
        <v>24</v>
      </c>
      <c r="W365" s="4">
        <v>9</v>
      </c>
      <c r="X365" s="4">
        <v>17</v>
      </c>
      <c r="Y365" s="4">
        <v>28</v>
      </c>
      <c r="Z365" s="4">
        <v>20</v>
      </c>
      <c r="AA365" s="4">
        <v>22</v>
      </c>
      <c r="AB365" s="4">
        <v>13</v>
      </c>
      <c r="AC365" s="4">
        <v>18</v>
      </c>
      <c r="AD365" s="4">
        <v>32</v>
      </c>
      <c r="AE365" s="4">
        <v>6</v>
      </c>
      <c r="AF365" s="4">
        <v>23</v>
      </c>
      <c r="AG365" s="4">
        <v>12</v>
      </c>
      <c r="AH365" s="4">
        <v>21</v>
      </c>
      <c r="AI365" s="4">
        <v>31</v>
      </c>
      <c r="AJ365" s="4">
        <v>26</v>
      </c>
      <c r="AK365" s="4">
        <v>0</v>
      </c>
      <c r="AL365" s="4">
        <v>0</v>
      </c>
    </row>
    <row r="366" spans="5:38" ht="16.149999999999999" thickBot="1" x14ac:dyDescent="0.55000000000000004">
      <c r="E366" s="101"/>
      <c r="F366" s="99"/>
      <c r="G366" s="4">
        <v>4</v>
      </c>
      <c r="H366" s="4">
        <v>3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</row>
    <row r="367" spans="5:38" x14ac:dyDescent="0.5">
      <c r="E367" s="100">
        <v>4</v>
      </c>
      <c r="F367" s="98" t="s">
        <v>13</v>
      </c>
      <c r="G367" s="4">
        <v>2</v>
      </c>
      <c r="H367" s="4">
        <v>11</v>
      </c>
      <c r="I367" s="4">
        <v>25</v>
      </c>
      <c r="J367" s="4">
        <v>7</v>
      </c>
      <c r="K367" s="4">
        <v>19</v>
      </c>
      <c r="L367" s="4">
        <v>27</v>
      </c>
      <c r="M367" s="4">
        <v>14</v>
      </c>
      <c r="N367" s="4">
        <v>5</v>
      </c>
      <c r="O367" s="4">
        <v>10</v>
      </c>
      <c r="P367" s="4">
        <v>30</v>
      </c>
      <c r="Q367" s="4">
        <v>15</v>
      </c>
      <c r="R367" s="4">
        <v>16</v>
      </c>
      <c r="S367" s="4">
        <v>29</v>
      </c>
      <c r="T367" s="4">
        <v>8</v>
      </c>
      <c r="U367" s="4">
        <v>24</v>
      </c>
      <c r="V367" s="4">
        <v>9</v>
      </c>
      <c r="W367" s="4">
        <v>17</v>
      </c>
      <c r="X367" s="4">
        <v>28</v>
      </c>
      <c r="Y367" s="4">
        <v>20</v>
      </c>
      <c r="Z367" s="4">
        <v>22</v>
      </c>
      <c r="AA367" s="4">
        <v>13</v>
      </c>
      <c r="AB367" s="4">
        <v>18</v>
      </c>
      <c r="AC367" s="4">
        <v>32</v>
      </c>
      <c r="AD367" s="4">
        <v>6</v>
      </c>
      <c r="AE367" s="4">
        <v>23</v>
      </c>
      <c r="AF367" s="4">
        <v>12</v>
      </c>
      <c r="AG367" s="4">
        <v>21</v>
      </c>
      <c r="AH367" s="4">
        <v>31</v>
      </c>
      <c r="AI367" s="4">
        <v>26</v>
      </c>
      <c r="AJ367" s="4">
        <v>0</v>
      </c>
      <c r="AK367" s="4">
        <v>0</v>
      </c>
      <c r="AL367" s="4">
        <v>0</v>
      </c>
    </row>
    <row r="368" spans="5:38" ht="16.149999999999999" thickBot="1" x14ac:dyDescent="0.55000000000000004">
      <c r="E368" s="101"/>
      <c r="F368" s="99"/>
      <c r="G368" s="4">
        <v>1</v>
      </c>
      <c r="H368" s="4">
        <v>4</v>
      </c>
      <c r="I368" s="4">
        <v>3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</row>
    <row r="369" spans="5:38" x14ac:dyDescent="0.5">
      <c r="E369" s="100">
        <v>5</v>
      </c>
      <c r="F369" s="98" t="s">
        <v>13</v>
      </c>
      <c r="G369" s="4">
        <v>11</v>
      </c>
      <c r="H369" s="4">
        <v>25</v>
      </c>
      <c r="I369" s="4">
        <v>7</v>
      </c>
      <c r="J369" s="4">
        <v>19</v>
      </c>
      <c r="K369" s="4">
        <v>27</v>
      </c>
      <c r="L369" s="4">
        <v>14</v>
      </c>
      <c r="M369" s="4">
        <v>5</v>
      </c>
      <c r="N369" s="4">
        <v>10</v>
      </c>
      <c r="O369" s="4">
        <v>30</v>
      </c>
      <c r="P369" s="4">
        <v>15</v>
      </c>
      <c r="Q369" s="4">
        <v>16</v>
      </c>
      <c r="R369" s="4">
        <v>29</v>
      </c>
      <c r="S369" s="4">
        <v>8</v>
      </c>
      <c r="T369" s="4">
        <v>24</v>
      </c>
      <c r="U369" s="4">
        <v>9</v>
      </c>
      <c r="V369" s="4">
        <v>17</v>
      </c>
      <c r="W369" s="4">
        <v>28</v>
      </c>
      <c r="X369" s="4">
        <v>20</v>
      </c>
      <c r="Y369" s="4">
        <v>22</v>
      </c>
      <c r="Z369" s="4">
        <v>13</v>
      </c>
      <c r="AA369" s="4">
        <v>18</v>
      </c>
      <c r="AB369" s="4">
        <v>32</v>
      </c>
      <c r="AC369" s="4">
        <v>6</v>
      </c>
      <c r="AD369" s="4">
        <v>23</v>
      </c>
      <c r="AE369" s="4">
        <v>12</v>
      </c>
      <c r="AF369" s="4">
        <v>21</v>
      </c>
      <c r="AG369" s="4">
        <v>31</v>
      </c>
      <c r="AH369" s="4">
        <v>26</v>
      </c>
      <c r="AI369" s="4">
        <v>0</v>
      </c>
      <c r="AJ369" s="4">
        <v>0</v>
      </c>
      <c r="AK369" s="4">
        <v>0</v>
      </c>
      <c r="AL369" s="4">
        <v>0</v>
      </c>
    </row>
    <row r="370" spans="5:38" ht="16.149999999999999" thickBot="1" x14ac:dyDescent="0.55000000000000004">
      <c r="E370" s="101"/>
      <c r="F370" s="99"/>
      <c r="G370" s="4">
        <v>2</v>
      </c>
      <c r="H370" s="4">
        <v>1</v>
      </c>
      <c r="I370" s="4">
        <v>4</v>
      </c>
      <c r="J370" s="4">
        <v>3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</row>
    <row r="372" spans="5:38" ht="16.149999999999999" thickBot="1" x14ac:dyDescent="0.55000000000000004"/>
    <row r="373" spans="5:38" x14ac:dyDescent="0.5">
      <c r="E373" s="100">
        <v>0</v>
      </c>
      <c r="F373" s="102" t="s">
        <v>11</v>
      </c>
      <c r="G373" s="4">
        <v>4</v>
      </c>
      <c r="H373" s="4">
        <v>2</v>
      </c>
      <c r="I373" s="4">
        <v>3</v>
      </c>
      <c r="J373" s="4">
        <v>1</v>
      </c>
      <c r="K373" s="4">
        <v>11</v>
      </c>
      <c r="L373" s="4">
        <v>25</v>
      </c>
      <c r="M373" s="4">
        <v>7</v>
      </c>
      <c r="N373" s="4">
        <v>19</v>
      </c>
      <c r="O373" s="4">
        <v>27</v>
      </c>
      <c r="P373" s="4">
        <v>14</v>
      </c>
      <c r="Q373" s="4">
        <v>5</v>
      </c>
      <c r="R373" s="4">
        <v>10</v>
      </c>
      <c r="S373" s="4">
        <v>30</v>
      </c>
      <c r="T373" s="4">
        <v>15</v>
      </c>
      <c r="U373" s="4">
        <v>16</v>
      </c>
      <c r="V373" s="4">
        <v>29</v>
      </c>
      <c r="W373" s="4">
        <v>8</v>
      </c>
      <c r="X373" s="4">
        <v>24</v>
      </c>
      <c r="Y373" s="4">
        <v>9</v>
      </c>
      <c r="Z373" s="4">
        <v>17</v>
      </c>
      <c r="AA373" s="4">
        <v>28</v>
      </c>
      <c r="AB373" s="4">
        <v>20</v>
      </c>
      <c r="AC373" s="4">
        <v>22</v>
      </c>
      <c r="AD373" s="4">
        <v>13</v>
      </c>
      <c r="AE373" s="4">
        <v>18</v>
      </c>
      <c r="AF373" s="4">
        <v>32</v>
      </c>
      <c r="AG373" s="4">
        <v>6</v>
      </c>
      <c r="AH373" s="4">
        <v>23</v>
      </c>
      <c r="AI373" s="4">
        <v>12</v>
      </c>
      <c r="AJ373" s="4">
        <v>21</v>
      </c>
      <c r="AK373" s="4">
        <v>31</v>
      </c>
      <c r="AL373" s="4">
        <v>26</v>
      </c>
    </row>
    <row r="374" spans="5:38" ht="16.149999999999999" thickBot="1" x14ac:dyDescent="0.55000000000000004">
      <c r="E374" s="101"/>
      <c r="F374" s="103"/>
      <c r="G374" s="4"/>
      <c r="H374" s="4"/>
      <c r="I374" s="4"/>
      <c r="J374" s="4"/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</row>
    <row r="375" spans="5:38" x14ac:dyDescent="0.5">
      <c r="E375" s="100">
        <v>1</v>
      </c>
      <c r="F375" s="98" t="s">
        <v>13</v>
      </c>
      <c r="G375" s="4">
        <v>2</v>
      </c>
      <c r="H375" s="4">
        <v>3</v>
      </c>
      <c r="I375" s="4">
        <v>1</v>
      </c>
      <c r="J375" s="4">
        <v>11</v>
      </c>
      <c r="K375" s="4">
        <v>25</v>
      </c>
      <c r="L375" s="4">
        <v>7</v>
      </c>
      <c r="M375" s="4">
        <v>19</v>
      </c>
      <c r="N375" s="4">
        <v>27</v>
      </c>
      <c r="O375" s="4">
        <v>14</v>
      </c>
      <c r="P375" s="4">
        <v>5</v>
      </c>
      <c r="Q375" s="4">
        <v>10</v>
      </c>
      <c r="R375" s="4">
        <v>30</v>
      </c>
      <c r="S375" s="4">
        <v>15</v>
      </c>
      <c r="T375" s="4">
        <v>16</v>
      </c>
      <c r="U375" s="4">
        <v>29</v>
      </c>
      <c r="V375" s="4">
        <v>8</v>
      </c>
      <c r="W375" s="4">
        <v>24</v>
      </c>
      <c r="X375" s="4">
        <v>9</v>
      </c>
      <c r="Y375" s="4">
        <v>17</v>
      </c>
      <c r="Z375" s="4">
        <v>28</v>
      </c>
      <c r="AA375" s="4">
        <v>20</v>
      </c>
      <c r="AB375" s="4">
        <v>22</v>
      </c>
      <c r="AC375" s="4">
        <v>13</v>
      </c>
      <c r="AD375" s="4">
        <v>18</v>
      </c>
      <c r="AE375" s="4">
        <v>32</v>
      </c>
      <c r="AF375" s="4">
        <v>6</v>
      </c>
      <c r="AG375" s="4">
        <v>23</v>
      </c>
      <c r="AH375" s="4">
        <v>12</v>
      </c>
      <c r="AI375" s="4">
        <v>21</v>
      </c>
      <c r="AJ375" s="4">
        <v>31</v>
      </c>
      <c r="AK375" s="4">
        <v>26</v>
      </c>
      <c r="AL375" s="4">
        <v>0</v>
      </c>
    </row>
    <row r="376" spans="5:38" ht="16.149999999999999" thickBot="1" x14ac:dyDescent="0.55000000000000004">
      <c r="E376" s="101"/>
      <c r="F376" s="99"/>
      <c r="G376" s="4">
        <v>4</v>
      </c>
      <c r="H376" s="4">
        <v>0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</row>
    <row r="377" spans="5:38" x14ac:dyDescent="0.5">
      <c r="E377" s="100">
        <v>2</v>
      </c>
      <c r="F377" s="98" t="s">
        <v>13</v>
      </c>
      <c r="G377" s="4">
        <v>3</v>
      </c>
      <c r="H377" s="4">
        <v>1</v>
      </c>
      <c r="I377" s="4">
        <v>11</v>
      </c>
      <c r="J377" s="4">
        <v>25</v>
      </c>
      <c r="K377" s="4">
        <v>7</v>
      </c>
      <c r="L377" s="4">
        <v>19</v>
      </c>
      <c r="M377" s="4">
        <v>27</v>
      </c>
      <c r="N377" s="4">
        <v>14</v>
      </c>
      <c r="O377" s="4">
        <v>5</v>
      </c>
      <c r="P377" s="4">
        <v>10</v>
      </c>
      <c r="Q377" s="4">
        <v>30</v>
      </c>
      <c r="R377" s="4">
        <v>15</v>
      </c>
      <c r="S377" s="4">
        <v>16</v>
      </c>
      <c r="T377" s="4">
        <v>29</v>
      </c>
      <c r="U377" s="4">
        <v>8</v>
      </c>
      <c r="V377" s="4">
        <v>24</v>
      </c>
      <c r="W377" s="4">
        <v>9</v>
      </c>
      <c r="X377" s="4">
        <v>17</v>
      </c>
      <c r="Y377" s="4">
        <v>28</v>
      </c>
      <c r="Z377" s="4">
        <v>20</v>
      </c>
      <c r="AA377" s="4">
        <v>22</v>
      </c>
      <c r="AB377" s="4">
        <v>13</v>
      </c>
      <c r="AC377" s="4">
        <v>18</v>
      </c>
      <c r="AD377" s="4">
        <v>32</v>
      </c>
      <c r="AE377" s="4">
        <v>6</v>
      </c>
      <c r="AF377" s="4">
        <v>23</v>
      </c>
      <c r="AG377" s="4">
        <v>12</v>
      </c>
      <c r="AH377" s="4">
        <v>21</v>
      </c>
      <c r="AI377" s="4">
        <v>31</v>
      </c>
      <c r="AJ377" s="4">
        <v>26</v>
      </c>
      <c r="AK377" s="4">
        <v>0</v>
      </c>
      <c r="AL377" s="4">
        <v>0</v>
      </c>
    </row>
    <row r="378" spans="5:38" ht="16.149999999999999" thickBot="1" x14ac:dyDescent="0.55000000000000004">
      <c r="E378" s="101"/>
      <c r="F378" s="99"/>
      <c r="G378" s="4">
        <v>2</v>
      </c>
      <c r="H378" s="4">
        <v>4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4">
        <v>0</v>
      </c>
    </row>
    <row r="379" spans="5:38" x14ac:dyDescent="0.5">
      <c r="E379" s="100">
        <v>3</v>
      </c>
      <c r="F379" s="98" t="s">
        <v>13</v>
      </c>
      <c r="G379" s="4">
        <v>1</v>
      </c>
      <c r="H379" s="4">
        <v>11</v>
      </c>
      <c r="I379" s="4">
        <v>25</v>
      </c>
      <c r="J379" s="4">
        <v>7</v>
      </c>
      <c r="K379" s="4">
        <v>19</v>
      </c>
      <c r="L379" s="4">
        <v>27</v>
      </c>
      <c r="M379" s="4">
        <v>14</v>
      </c>
      <c r="N379" s="4">
        <v>5</v>
      </c>
      <c r="O379" s="4">
        <v>10</v>
      </c>
      <c r="P379" s="4">
        <v>30</v>
      </c>
      <c r="Q379" s="4">
        <v>15</v>
      </c>
      <c r="R379" s="4">
        <v>16</v>
      </c>
      <c r="S379" s="4">
        <v>29</v>
      </c>
      <c r="T379" s="4">
        <v>8</v>
      </c>
      <c r="U379" s="4">
        <v>24</v>
      </c>
      <c r="V379" s="4">
        <v>9</v>
      </c>
      <c r="W379" s="4">
        <v>17</v>
      </c>
      <c r="X379" s="4">
        <v>28</v>
      </c>
      <c r="Y379" s="4">
        <v>20</v>
      </c>
      <c r="Z379" s="4">
        <v>22</v>
      </c>
      <c r="AA379" s="4">
        <v>13</v>
      </c>
      <c r="AB379" s="4">
        <v>18</v>
      </c>
      <c r="AC379" s="4">
        <v>32</v>
      </c>
      <c r="AD379" s="4">
        <v>6</v>
      </c>
      <c r="AE379" s="4">
        <v>23</v>
      </c>
      <c r="AF379" s="4">
        <v>12</v>
      </c>
      <c r="AG379" s="4">
        <v>21</v>
      </c>
      <c r="AH379" s="4">
        <v>31</v>
      </c>
      <c r="AI379" s="4">
        <v>26</v>
      </c>
      <c r="AJ379" s="4">
        <v>0</v>
      </c>
      <c r="AK379" s="4">
        <v>0</v>
      </c>
      <c r="AL379" s="4">
        <v>0</v>
      </c>
    </row>
    <row r="380" spans="5:38" ht="16.149999999999999" thickBot="1" x14ac:dyDescent="0.55000000000000004">
      <c r="E380" s="101"/>
      <c r="F380" s="99"/>
      <c r="G380" s="4">
        <v>3</v>
      </c>
      <c r="H380" s="4">
        <v>2</v>
      </c>
      <c r="I380" s="4">
        <v>4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4">
        <v>0</v>
      </c>
    </row>
    <row r="381" spans="5:38" x14ac:dyDescent="0.5">
      <c r="E381" s="100">
        <v>4</v>
      </c>
      <c r="F381" s="98" t="s">
        <v>16</v>
      </c>
      <c r="G381" s="4">
        <v>1</v>
      </c>
      <c r="H381" s="4">
        <v>11</v>
      </c>
      <c r="I381" s="4">
        <v>25</v>
      </c>
      <c r="J381" s="4">
        <v>7</v>
      </c>
      <c r="K381" s="4">
        <v>19</v>
      </c>
      <c r="L381" s="4">
        <v>27</v>
      </c>
      <c r="M381" s="4">
        <v>14</v>
      </c>
      <c r="N381" s="4">
        <v>5</v>
      </c>
      <c r="O381" s="4">
        <v>10</v>
      </c>
      <c r="P381" s="4">
        <v>30</v>
      </c>
      <c r="Q381" s="4">
        <v>15</v>
      </c>
      <c r="R381" s="4">
        <v>16</v>
      </c>
      <c r="S381" s="4">
        <v>29</v>
      </c>
      <c r="T381" s="4">
        <v>8</v>
      </c>
      <c r="U381" s="4">
        <v>24</v>
      </c>
      <c r="V381" s="4">
        <v>9</v>
      </c>
      <c r="W381" s="4">
        <v>17</v>
      </c>
      <c r="X381" s="4">
        <v>28</v>
      </c>
      <c r="Y381" s="4">
        <v>20</v>
      </c>
      <c r="Z381" s="4">
        <v>22</v>
      </c>
      <c r="AA381" s="4">
        <v>13</v>
      </c>
      <c r="AB381" s="4">
        <v>18</v>
      </c>
      <c r="AC381" s="4">
        <v>32</v>
      </c>
      <c r="AD381" s="4">
        <v>6</v>
      </c>
      <c r="AE381" s="4">
        <v>23</v>
      </c>
      <c r="AF381" s="4">
        <v>12</v>
      </c>
      <c r="AG381" s="4">
        <v>21</v>
      </c>
      <c r="AH381" s="4">
        <v>31</v>
      </c>
      <c r="AI381" s="4">
        <v>26</v>
      </c>
      <c r="AJ381" s="4">
        <v>0</v>
      </c>
      <c r="AK381" s="4">
        <v>0</v>
      </c>
      <c r="AL381" s="4">
        <v>0</v>
      </c>
    </row>
    <row r="382" spans="5:38" ht="16.149999999999999" thickBot="1" x14ac:dyDescent="0.55000000000000004">
      <c r="E382" s="101"/>
      <c r="F382" s="99"/>
      <c r="G382" s="4">
        <v>4</v>
      </c>
      <c r="H382" s="4">
        <v>3</v>
      </c>
      <c r="I382" s="4">
        <v>2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4">
        <v>0</v>
      </c>
    </row>
    <row r="383" spans="5:38" x14ac:dyDescent="0.5">
      <c r="E383" s="100">
        <v>5</v>
      </c>
      <c r="F383" s="98" t="s">
        <v>13</v>
      </c>
      <c r="G383" s="4">
        <v>11</v>
      </c>
      <c r="H383" s="4">
        <v>25</v>
      </c>
      <c r="I383" s="4">
        <v>7</v>
      </c>
      <c r="J383" s="4">
        <v>19</v>
      </c>
      <c r="K383" s="4">
        <v>27</v>
      </c>
      <c r="L383" s="4">
        <v>14</v>
      </c>
      <c r="M383" s="4">
        <v>5</v>
      </c>
      <c r="N383" s="4">
        <v>10</v>
      </c>
      <c r="O383" s="4">
        <v>30</v>
      </c>
      <c r="P383" s="4">
        <v>15</v>
      </c>
      <c r="Q383" s="4">
        <v>16</v>
      </c>
      <c r="R383" s="4">
        <v>29</v>
      </c>
      <c r="S383" s="4">
        <v>8</v>
      </c>
      <c r="T383" s="4">
        <v>24</v>
      </c>
      <c r="U383" s="4">
        <v>9</v>
      </c>
      <c r="V383" s="4">
        <v>17</v>
      </c>
      <c r="W383" s="4">
        <v>28</v>
      </c>
      <c r="X383" s="4">
        <v>20</v>
      </c>
      <c r="Y383" s="4">
        <v>22</v>
      </c>
      <c r="Z383" s="4">
        <v>13</v>
      </c>
      <c r="AA383" s="4">
        <v>18</v>
      </c>
      <c r="AB383" s="4">
        <v>32</v>
      </c>
      <c r="AC383" s="4">
        <v>6</v>
      </c>
      <c r="AD383" s="4">
        <v>23</v>
      </c>
      <c r="AE383" s="4">
        <v>12</v>
      </c>
      <c r="AF383" s="4">
        <v>21</v>
      </c>
      <c r="AG383" s="4">
        <v>31</v>
      </c>
      <c r="AH383" s="4">
        <v>26</v>
      </c>
      <c r="AI383" s="4">
        <v>0</v>
      </c>
      <c r="AJ383" s="4">
        <v>0</v>
      </c>
      <c r="AK383" s="4">
        <v>0</v>
      </c>
      <c r="AL383" s="4">
        <v>0</v>
      </c>
    </row>
    <row r="384" spans="5:38" ht="16.149999999999999" thickBot="1" x14ac:dyDescent="0.55000000000000004">
      <c r="E384" s="101"/>
      <c r="F384" s="99"/>
      <c r="G384" s="4">
        <v>1</v>
      </c>
      <c r="H384" s="4">
        <v>4</v>
      </c>
      <c r="I384" s="4">
        <v>3</v>
      </c>
      <c r="J384" s="4">
        <v>2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4">
        <v>0</v>
      </c>
    </row>
    <row r="386" spans="5:38" ht="16.149999999999999" thickBot="1" x14ac:dyDescent="0.55000000000000004"/>
    <row r="387" spans="5:38" x14ac:dyDescent="0.5">
      <c r="E387" s="100">
        <v>0</v>
      </c>
      <c r="F387" s="102" t="s">
        <v>11</v>
      </c>
      <c r="G387" s="4">
        <v>4</v>
      </c>
      <c r="H387" s="4">
        <v>3</v>
      </c>
      <c r="I387" s="4">
        <v>2</v>
      </c>
      <c r="J387" s="4">
        <v>1</v>
      </c>
      <c r="K387" s="4">
        <v>11</v>
      </c>
      <c r="L387" s="4">
        <v>25</v>
      </c>
      <c r="M387" s="4">
        <v>7</v>
      </c>
      <c r="N387" s="4">
        <v>19</v>
      </c>
      <c r="O387" s="4">
        <v>27</v>
      </c>
      <c r="P387" s="4">
        <v>14</v>
      </c>
      <c r="Q387" s="4">
        <v>5</v>
      </c>
      <c r="R387" s="4">
        <v>10</v>
      </c>
      <c r="S387" s="4">
        <v>30</v>
      </c>
      <c r="T387" s="4">
        <v>15</v>
      </c>
      <c r="U387" s="4">
        <v>16</v>
      </c>
      <c r="V387" s="4">
        <v>29</v>
      </c>
      <c r="W387" s="4">
        <v>8</v>
      </c>
      <c r="X387" s="4">
        <v>24</v>
      </c>
      <c r="Y387" s="4">
        <v>9</v>
      </c>
      <c r="Z387" s="4">
        <v>17</v>
      </c>
      <c r="AA387" s="4">
        <v>28</v>
      </c>
      <c r="AB387" s="4">
        <v>20</v>
      </c>
      <c r="AC387" s="4">
        <v>22</v>
      </c>
      <c r="AD387" s="4">
        <v>13</v>
      </c>
      <c r="AE387" s="4">
        <v>18</v>
      </c>
      <c r="AF387" s="4">
        <v>32</v>
      </c>
      <c r="AG387" s="4">
        <v>6</v>
      </c>
      <c r="AH387" s="4">
        <v>23</v>
      </c>
      <c r="AI387" s="4">
        <v>12</v>
      </c>
      <c r="AJ387" s="4">
        <v>21</v>
      </c>
      <c r="AK387" s="4">
        <v>31</v>
      </c>
      <c r="AL387" s="4">
        <v>26</v>
      </c>
    </row>
    <row r="388" spans="5:38" ht="16.149999999999999" thickBot="1" x14ac:dyDescent="0.55000000000000004">
      <c r="E388" s="101"/>
      <c r="F388" s="103"/>
      <c r="G388" s="4"/>
      <c r="H388" s="4"/>
      <c r="I388" s="4"/>
      <c r="J388" s="4"/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4">
        <v>0</v>
      </c>
    </row>
    <row r="389" spans="5:38" x14ac:dyDescent="0.5">
      <c r="E389" s="100">
        <v>1</v>
      </c>
      <c r="F389" s="98" t="s">
        <v>13</v>
      </c>
      <c r="G389" s="4">
        <v>3</v>
      </c>
      <c r="H389" s="4">
        <v>2</v>
      </c>
      <c r="I389" s="4">
        <v>1</v>
      </c>
      <c r="J389" s="4">
        <v>11</v>
      </c>
      <c r="K389" s="4">
        <v>25</v>
      </c>
      <c r="L389" s="4">
        <v>7</v>
      </c>
      <c r="M389" s="4">
        <v>19</v>
      </c>
      <c r="N389" s="4">
        <v>27</v>
      </c>
      <c r="O389" s="4">
        <v>14</v>
      </c>
      <c r="P389" s="4">
        <v>5</v>
      </c>
      <c r="Q389" s="4">
        <v>10</v>
      </c>
      <c r="R389" s="4">
        <v>30</v>
      </c>
      <c r="S389" s="4">
        <v>15</v>
      </c>
      <c r="T389" s="4">
        <v>16</v>
      </c>
      <c r="U389" s="4">
        <v>29</v>
      </c>
      <c r="V389" s="4">
        <v>8</v>
      </c>
      <c r="W389" s="4">
        <v>24</v>
      </c>
      <c r="X389" s="4">
        <v>9</v>
      </c>
      <c r="Y389" s="4">
        <v>17</v>
      </c>
      <c r="Z389" s="4">
        <v>28</v>
      </c>
      <c r="AA389" s="4">
        <v>20</v>
      </c>
      <c r="AB389" s="4">
        <v>22</v>
      </c>
      <c r="AC389" s="4">
        <v>13</v>
      </c>
      <c r="AD389" s="4">
        <v>18</v>
      </c>
      <c r="AE389" s="4">
        <v>32</v>
      </c>
      <c r="AF389" s="4">
        <v>6</v>
      </c>
      <c r="AG389" s="4">
        <v>23</v>
      </c>
      <c r="AH389" s="4">
        <v>12</v>
      </c>
      <c r="AI389" s="4">
        <v>21</v>
      </c>
      <c r="AJ389" s="4">
        <v>31</v>
      </c>
      <c r="AK389" s="4">
        <v>26</v>
      </c>
      <c r="AL389" s="4">
        <v>0</v>
      </c>
    </row>
    <row r="390" spans="5:38" ht="16.149999999999999" thickBot="1" x14ac:dyDescent="0.55000000000000004">
      <c r="E390" s="101"/>
      <c r="F390" s="99"/>
      <c r="G390" s="4">
        <v>4</v>
      </c>
      <c r="H390" s="4">
        <v>0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0</v>
      </c>
      <c r="AL390" s="4">
        <v>0</v>
      </c>
    </row>
    <row r="391" spans="5:38" x14ac:dyDescent="0.5">
      <c r="E391" s="100">
        <v>2</v>
      </c>
      <c r="F391" s="98" t="s">
        <v>13</v>
      </c>
      <c r="G391" s="4">
        <v>2</v>
      </c>
      <c r="H391" s="4">
        <v>1</v>
      </c>
      <c r="I391" s="4">
        <v>11</v>
      </c>
      <c r="J391" s="4">
        <v>25</v>
      </c>
      <c r="K391" s="4">
        <v>7</v>
      </c>
      <c r="L391" s="4">
        <v>19</v>
      </c>
      <c r="M391" s="4">
        <v>27</v>
      </c>
      <c r="N391" s="4">
        <v>14</v>
      </c>
      <c r="O391" s="4">
        <v>5</v>
      </c>
      <c r="P391" s="4">
        <v>10</v>
      </c>
      <c r="Q391" s="4">
        <v>30</v>
      </c>
      <c r="R391" s="4">
        <v>15</v>
      </c>
      <c r="S391" s="4">
        <v>16</v>
      </c>
      <c r="T391" s="4">
        <v>29</v>
      </c>
      <c r="U391" s="4">
        <v>8</v>
      </c>
      <c r="V391" s="4">
        <v>24</v>
      </c>
      <c r="W391" s="4">
        <v>9</v>
      </c>
      <c r="X391" s="4">
        <v>17</v>
      </c>
      <c r="Y391" s="4">
        <v>28</v>
      </c>
      <c r="Z391" s="4">
        <v>20</v>
      </c>
      <c r="AA391" s="4">
        <v>22</v>
      </c>
      <c r="AB391" s="4">
        <v>13</v>
      </c>
      <c r="AC391" s="4">
        <v>18</v>
      </c>
      <c r="AD391" s="4">
        <v>32</v>
      </c>
      <c r="AE391" s="4">
        <v>6</v>
      </c>
      <c r="AF391" s="4">
        <v>23</v>
      </c>
      <c r="AG391" s="4">
        <v>12</v>
      </c>
      <c r="AH391" s="4">
        <v>21</v>
      </c>
      <c r="AI391" s="4">
        <v>31</v>
      </c>
      <c r="AJ391" s="4">
        <v>26</v>
      </c>
      <c r="AK391" s="4">
        <v>0</v>
      </c>
      <c r="AL391" s="4">
        <v>0</v>
      </c>
    </row>
    <row r="392" spans="5:38" ht="16.149999999999999" thickBot="1" x14ac:dyDescent="0.55000000000000004">
      <c r="E392" s="101"/>
      <c r="F392" s="99"/>
      <c r="G392" s="4">
        <v>3</v>
      </c>
      <c r="H392" s="4">
        <v>4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0</v>
      </c>
      <c r="AL392" s="4">
        <v>0</v>
      </c>
    </row>
    <row r="393" spans="5:38" x14ac:dyDescent="0.5">
      <c r="E393" s="100">
        <v>3</v>
      </c>
      <c r="F393" s="104" t="s">
        <v>80</v>
      </c>
      <c r="G393" s="4">
        <v>1</v>
      </c>
      <c r="H393" s="4">
        <v>2</v>
      </c>
      <c r="I393" s="4">
        <v>11</v>
      </c>
      <c r="J393" s="4">
        <v>25</v>
      </c>
      <c r="K393" s="4">
        <v>7</v>
      </c>
      <c r="L393" s="4">
        <v>19</v>
      </c>
      <c r="M393" s="4">
        <v>27</v>
      </c>
      <c r="N393" s="4">
        <v>14</v>
      </c>
      <c r="O393" s="4">
        <v>5</v>
      </c>
      <c r="P393" s="4">
        <v>10</v>
      </c>
      <c r="Q393" s="4">
        <v>30</v>
      </c>
      <c r="R393" s="4">
        <v>15</v>
      </c>
      <c r="S393" s="4">
        <v>16</v>
      </c>
      <c r="T393" s="4">
        <v>29</v>
      </c>
      <c r="U393" s="4">
        <v>8</v>
      </c>
      <c r="V393" s="4">
        <v>24</v>
      </c>
      <c r="W393" s="4">
        <v>9</v>
      </c>
      <c r="X393" s="4">
        <v>17</v>
      </c>
      <c r="Y393" s="4">
        <v>28</v>
      </c>
      <c r="Z393" s="4">
        <v>20</v>
      </c>
      <c r="AA393" s="4">
        <v>22</v>
      </c>
      <c r="AB393" s="4">
        <v>13</v>
      </c>
      <c r="AC393" s="4">
        <v>18</v>
      </c>
      <c r="AD393" s="4">
        <v>32</v>
      </c>
      <c r="AE393" s="4">
        <v>6</v>
      </c>
      <c r="AF393" s="4">
        <v>23</v>
      </c>
      <c r="AG393" s="4">
        <v>12</v>
      </c>
      <c r="AH393" s="4">
        <v>21</v>
      </c>
      <c r="AI393" s="4">
        <v>31</v>
      </c>
      <c r="AJ393" s="4">
        <v>26</v>
      </c>
      <c r="AK393" s="4">
        <v>0</v>
      </c>
      <c r="AL393" s="4">
        <v>0</v>
      </c>
    </row>
    <row r="394" spans="5:38" ht="16.149999999999999" thickBot="1" x14ac:dyDescent="0.55000000000000004">
      <c r="E394" s="101"/>
      <c r="F394" s="105"/>
      <c r="G394" s="4">
        <v>4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0</v>
      </c>
      <c r="AL394" s="4">
        <v>0</v>
      </c>
    </row>
    <row r="395" spans="5:38" x14ac:dyDescent="0.5">
      <c r="E395" s="100">
        <v>4</v>
      </c>
      <c r="F395" s="98" t="s">
        <v>13</v>
      </c>
      <c r="G395" s="4">
        <v>2</v>
      </c>
      <c r="H395" s="4">
        <v>11</v>
      </c>
      <c r="I395" s="4">
        <v>25</v>
      </c>
      <c r="J395" s="4">
        <v>7</v>
      </c>
      <c r="K395" s="4">
        <v>19</v>
      </c>
      <c r="L395" s="4">
        <v>27</v>
      </c>
      <c r="M395" s="4">
        <v>14</v>
      </c>
      <c r="N395" s="4">
        <v>5</v>
      </c>
      <c r="O395" s="4">
        <v>10</v>
      </c>
      <c r="P395" s="4">
        <v>30</v>
      </c>
      <c r="Q395" s="4">
        <v>15</v>
      </c>
      <c r="R395" s="4">
        <v>16</v>
      </c>
      <c r="S395" s="4">
        <v>29</v>
      </c>
      <c r="T395" s="4">
        <v>8</v>
      </c>
      <c r="U395" s="4">
        <v>24</v>
      </c>
      <c r="V395" s="4">
        <v>9</v>
      </c>
      <c r="W395" s="4">
        <v>17</v>
      </c>
      <c r="X395" s="4">
        <v>28</v>
      </c>
      <c r="Y395" s="4">
        <v>20</v>
      </c>
      <c r="Z395" s="4">
        <v>22</v>
      </c>
      <c r="AA395" s="4">
        <v>13</v>
      </c>
      <c r="AB395" s="4">
        <v>18</v>
      </c>
      <c r="AC395" s="4">
        <v>32</v>
      </c>
      <c r="AD395" s="4">
        <v>6</v>
      </c>
      <c r="AE395" s="4">
        <v>23</v>
      </c>
      <c r="AF395" s="4">
        <v>12</v>
      </c>
      <c r="AG395" s="4">
        <v>21</v>
      </c>
      <c r="AH395" s="4">
        <v>31</v>
      </c>
      <c r="AI395" s="4">
        <v>26</v>
      </c>
      <c r="AJ395" s="4">
        <v>0</v>
      </c>
      <c r="AK395" s="4">
        <v>0</v>
      </c>
      <c r="AL395" s="4">
        <v>0</v>
      </c>
    </row>
    <row r="396" spans="5:38" ht="16.149999999999999" thickBot="1" x14ac:dyDescent="0.55000000000000004">
      <c r="E396" s="101"/>
      <c r="F396" s="99"/>
      <c r="G396" s="4">
        <v>1</v>
      </c>
      <c r="H396" s="4">
        <v>4</v>
      </c>
      <c r="I396" s="4">
        <v>3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0</v>
      </c>
      <c r="AH396" s="4">
        <v>0</v>
      </c>
      <c r="AI396" s="4">
        <v>0</v>
      </c>
      <c r="AJ396" s="4">
        <v>0</v>
      </c>
      <c r="AK396" s="4">
        <v>0</v>
      </c>
      <c r="AL396" s="4">
        <v>0</v>
      </c>
    </row>
    <row r="397" spans="5:38" x14ac:dyDescent="0.5">
      <c r="E397" s="100">
        <v>5</v>
      </c>
      <c r="F397" s="98" t="s">
        <v>13</v>
      </c>
      <c r="G397" s="4">
        <v>11</v>
      </c>
      <c r="H397" s="4">
        <v>25</v>
      </c>
      <c r="I397" s="4">
        <v>7</v>
      </c>
      <c r="J397" s="4">
        <v>19</v>
      </c>
      <c r="K397" s="4">
        <v>27</v>
      </c>
      <c r="L397" s="4">
        <v>14</v>
      </c>
      <c r="M397" s="4">
        <v>5</v>
      </c>
      <c r="N397" s="4">
        <v>10</v>
      </c>
      <c r="O397" s="4">
        <v>30</v>
      </c>
      <c r="P397" s="4">
        <v>15</v>
      </c>
      <c r="Q397" s="4">
        <v>16</v>
      </c>
      <c r="R397" s="4">
        <v>29</v>
      </c>
      <c r="S397" s="4">
        <v>8</v>
      </c>
      <c r="T397" s="4">
        <v>24</v>
      </c>
      <c r="U397" s="4">
        <v>9</v>
      </c>
      <c r="V397" s="4">
        <v>17</v>
      </c>
      <c r="W397" s="4">
        <v>28</v>
      </c>
      <c r="X397" s="4">
        <v>20</v>
      </c>
      <c r="Y397" s="4">
        <v>22</v>
      </c>
      <c r="Z397" s="4">
        <v>13</v>
      </c>
      <c r="AA397" s="4">
        <v>18</v>
      </c>
      <c r="AB397" s="4">
        <v>32</v>
      </c>
      <c r="AC397" s="4">
        <v>6</v>
      </c>
      <c r="AD397" s="4">
        <v>23</v>
      </c>
      <c r="AE397" s="4">
        <v>12</v>
      </c>
      <c r="AF397" s="4">
        <v>21</v>
      </c>
      <c r="AG397" s="4">
        <v>31</v>
      </c>
      <c r="AH397" s="4">
        <v>26</v>
      </c>
      <c r="AI397" s="4">
        <v>0</v>
      </c>
      <c r="AJ397" s="4">
        <v>0</v>
      </c>
      <c r="AK397" s="4">
        <v>0</v>
      </c>
      <c r="AL397" s="4">
        <v>0</v>
      </c>
    </row>
    <row r="398" spans="5:38" ht="16.149999999999999" thickBot="1" x14ac:dyDescent="0.55000000000000004">
      <c r="E398" s="101"/>
      <c r="F398" s="99"/>
      <c r="G398" s="4">
        <v>2</v>
      </c>
      <c r="H398" s="4">
        <v>1</v>
      </c>
      <c r="I398" s="4">
        <v>4</v>
      </c>
      <c r="J398" s="4">
        <v>3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I398" s="4">
        <v>0</v>
      </c>
      <c r="AJ398" s="4">
        <v>0</v>
      </c>
      <c r="AK398" s="4">
        <v>0</v>
      </c>
      <c r="AL398" s="4">
        <v>0</v>
      </c>
    </row>
    <row r="400" spans="5:38" ht="16.149999999999999" thickBot="1" x14ac:dyDescent="0.55000000000000004"/>
    <row r="401" spans="5:38" x14ac:dyDescent="0.5">
      <c r="E401" s="100">
        <v>0</v>
      </c>
      <c r="F401" s="102" t="s">
        <v>11</v>
      </c>
      <c r="G401" s="97">
        <v>1</v>
      </c>
      <c r="H401" s="97">
        <v>2</v>
      </c>
      <c r="I401" s="97">
        <v>3</v>
      </c>
      <c r="J401" s="97">
        <v>4</v>
      </c>
      <c r="K401" s="97">
        <v>5</v>
      </c>
      <c r="L401" s="4">
        <v>25</v>
      </c>
      <c r="M401" s="4">
        <v>7</v>
      </c>
      <c r="N401" s="4">
        <v>19</v>
      </c>
      <c r="O401" s="4">
        <v>27</v>
      </c>
      <c r="P401" s="4">
        <v>14</v>
      </c>
      <c r="Q401" s="4">
        <v>11</v>
      </c>
      <c r="R401" s="4">
        <v>10</v>
      </c>
      <c r="S401" s="4">
        <v>30</v>
      </c>
      <c r="T401" s="4">
        <v>15</v>
      </c>
      <c r="U401" s="4">
        <v>16</v>
      </c>
      <c r="V401" s="4">
        <v>29</v>
      </c>
      <c r="W401" s="4">
        <v>8</v>
      </c>
      <c r="X401" s="4">
        <v>24</v>
      </c>
      <c r="Y401" s="4">
        <v>9</v>
      </c>
      <c r="Z401" s="4">
        <v>17</v>
      </c>
      <c r="AA401" s="4">
        <v>28</v>
      </c>
      <c r="AB401" s="4">
        <v>20</v>
      </c>
      <c r="AC401" s="4">
        <v>22</v>
      </c>
      <c r="AD401" s="4">
        <v>13</v>
      </c>
      <c r="AE401" s="4">
        <v>18</v>
      </c>
      <c r="AF401" s="4">
        <v>32</v>
      </c>
      <c r="AG401" s="4">
        <v>6</v>
      </c>
      <c r="AH401" s="4">
        <v>23</v>
      </c>
      <c r="AI401" s="4">
        <v>12</v>
      </c>
      <c r="AJ401" s="4">
        <v>21</v>
      </c>
      <c r="AK401" s="4">
        <v>31</v>
      </c>
      <c r="AL401" s="4">
        <v>26</v>
      </c>
    </row>
    <row r="402" spans="5:38" ht="16.149999999999999" thickBot="1" x14ac:dyDescent="0.55000000000000004">
      <c r="E402" s="101"/>
      <c r="F402" s="103"/>
      <c r="G402" s="4"/>
      <c r="H402" s="4"/>
      <c r="I402" s="4"/>
      <c r="J402" s="4"/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0</v>
      </c>
      <c r="AL402" s="4">
        <v>0</v>
      </c>
    </row>
    <row r="403" spans="5:38" x14ac:dyDescent="0.5">
      <c r="E403" s="100">
        <v>1</v>
      </c>
      <c r="F403" s="98" t="s">
        <v>13</v>
      </c>
      <c r="G403" s="4">
        <v>2</v>
      </c>
      <c r="H403" s="4">
        <v>3</v>
      </c>
      <c r="I403" s="4">
        <v>4</v>
      </c>
      <c r="J403" s="4">
        <v>5</v>
      </c>
      <c r="K403" s="4">
        <v>25</v>
      </c>
      <c r="L403" s="4">
        <v>7</v>
      </c>
      <c r="M403" s="4">
        <v>19</v>
      </c>
      <c r="N403" s="4">
        <v>27</v>
      </c>
      <c r="O403" s="4">
        <v>14</v>
      </c>
      <c r="P403" s="4">
        <v>11</v>
      </c>
      <c r="Q403" s="4">
        <v>10</v>
      </c>
      <c r="R403" s="4">
        <v>30</v>
      </c>
      <c r="S403" s="4">
        <v>15</v>
      </c>
      <c r="T403" s="4">
        <v>16</v>
      </c>
      <c r="U403" s="4">
        <v>29</v>
      </c>
      <c r="V403" s="4">
        <v>8</v>
      </c>
      <c r="W403" s="4">
        <v>24</v>
      </c>
      <c r="X403" s="4">
        <v>9</v>
      </c>
      <c r="Y403" s="4">
        <v>17</v>
      </c>
      <c r="Z403" s="4">
        <v>28</v>
      </c>
      <c r="AA403" s="4">
        <v>20</v>
      </c>
      <c r="AB403" s="4">
        <v>22</v>
      </c>
      <c r="AC403" s="4">
        <v>13</v>
      </c>
      <c r="AD403" s="4">
        <v>18</v>
      </c>
      <c r="AE403" s="4">
        <v>32</v>
      </c>
      <c r="AF403" s="4">
        <v>6</v>
      </c>
      <c r="AG403" s="4">
        <v>23</v>
      </c>
      <c r="AH403" s="4">
        <v>12</v>
      </c>
      <c r="AI403" s="4">
        <v>21</v>
      </c>
      <c r="AJ403" s="4">
        <v>31</v>
      </c>
      <c r="AK403" s="4">
        <v>26</v>
      </c>
      <c r="AL403" s="4">
        <v>0</v>
      </c>
    </row>
    <row r="404" spans="5:38" ht="16.149999999999999" thickBot="1" x14ac:dyDescent="0.55000000000000004">
      <c r="E404" s="101"/>
      <c r="F404" s="99"/>
      <c r="G404" s="4">
        <v>1</v>
      </c>
      <c r="H404" s="4">
        <v>0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</row>
    <row r="405" spans="5:38" x14ac:dyDescent="0.5">
      <c r="E405" s="100">
        <v>2</v>
      </c>
      <c r="F405" s="98" t="s">
        <v>13</v>
      </c>
      <c r="G405" s="4">
        <v>3</v>
      </c>
      <c r="H405" s="4">
        <v>4</v>
      </c>
      <c r="I405" s="4">
        <v>5</v>
      </c>
      <c r="J405" s="4">
        <v>25</v>
      </c>
      <c r="K405" s="4">
        <v>7</v>
      </c>
      <c r="L405" s="4">
        <v>19</v>
      </c>
      <c r="M405" s="4">
        <v>27</v>
      </c>
      <c r="N405" s="4">
        <v>14</v>
      </c>
      <c r="O405" s="4">
        <v>11</v>
      </c>
      <c r="P405" s="4">
        <v>10</v>
      </c>
      <c r="Q405" s="4">
        <v>30</v>
      </c>
      <c r="R405" s="4">
        <v>15</v>
      </c>
      <c r="S405" s="4">
        <v>16</v>
      </c>
      <c r="T405" s="4">
        <v>29</v>
      </c>
      <c r="U405" s="4">
        <v>8</v>
      </c>
      <c r="V405" s="4">
        <v>24</v>
      </c>
      <c r="W405" s="4">
        <v>9</v>
      </c>
      <c r="X405" s="4">
        <v>17</v>
      </c>
      <c r="Y405" s="4">
        <v>28</v>
      </c>
      <c r="Z405" s="4">
        <v>20</v>
      </c>
      <c r="AA405" s="4">
        <v>22</v>
      </c>
      <c r="AB405" s="4">
        <v>13</v>
      </c>
      <c r="AC405" s="4">
        <v>18</v>
      </c>
      <c r="AD405" s="4">
        <v>32</v>
      </c>
      <c r="AE405" s="4">
        <v>6</v>
      </c>
      <c r="AF405" s="4">
        <v>23</v>
      </c>
      <c r="AG405" s="4">
        <v>12</v>
      </c>
      <c r="AH405" s="4">
        <v>21</v>
      </c>
      <c r="AI405" s="4">
        <v>31</v>
      </c>
      <c r="AJ405" s="4">
        <v>26</v>
      </c>
      <c r="AK405" s="4">
        <v>0</v>
      </c>
      <c r="AL405" s="4">
        <v>0</v>
      </c>
    </row>
    <row r="406" spans="5:38" ht="16.149999999999999" thickBot="1" x14ac:dyDescent="0.55000000000000004">
      <c r="E406" s="101"/>
      <c r="F406" s="99"/>
      <c r="G406" s="4">
        <v>2</v>
      </c>
      <c r="H406" s="4">
        <v>1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</row>
    <row r="407" spans="5:38" x14ac:dyDescent="0.5">
      <c r="E407" s="100">
        <v>3</v>
      </c>
      <c r="F407" s="98" t="s">
        <v>13</v>
      </c>
      <c r="G407" s="4">
        <v>4</v>
      </c>
      <c r="H407" s="4">
        <v>5</v>
      </c>
      <c r="I407" s="4">
        <v>25</v>
      </c>
      <c r="J407" s="4">
        <v>7</v>
      </c>
      <c r="K407" s="4">
        <v>19</v>
      </c>
      <c r="L407" s="4">
        <v>27</v>
      </c>
      <c r="M407" s="4">
        <v>14</v>
      </c>
      <c r="N407" s="4">
        <v>11</v>
      </c>
      <c r="O407" s="4">
        <v>10</v>
      </c>
      <c r="P407" s="4">
        <v>30</v>
      </c>
      <c r="Q407" s="4">
        <v>15</v>
      </c>
      <c r="R407" s="4">
        <v>16</v>
      </c>
      <c r="S407" s="4">
        <v>29</v>
      </c>
      <c r="T407" s="4">
        <v>8</v>
      </c>
      <c r="U407" s="4">
        <v>24</v>
      </c>
      <c r="V407" s="4">
        <v>9</v>
      </c>
      <c r="W407" s="4">
        <v>17</v>
      </c>
      <c r="X407" s="4">
        <v>28</v>
      </c>
      <c r="Y407" s="4">
        <v>20</v>
      </c>
      <c r="Z407" s="4">
        <v>22</v>
      </c>
      <c r="AA407" s="4">
        <v>13</v>
      </c>
      <c r="AB407" s="4">
        <v>18</v>
      </c>
      <c r="AC407" s="4">
        <v>32</v>
      </c>
      <c r="AD407" s="4">
        <v>6</v>
      </c>
      <c r="AE407" s="4">
        <v>23</v>
      </c>
      <c r="AF407" s="4">
        <v>12</v>
      </c>
      <c r="AG407" s="4">
        <v>21</v>
      </c>
      <c r="AH407" s="4">
        <v>31</v>
      </c>
      <c r="AI407" s="4">
        <v>26</v>
      </c>
      <c r="AJ407" s="4">
        <v>0</v>
      </c>
      <c r="AK407" s="4">
        <v>0</v>
      </c>
      <c r="AL407" s="4">
        <v>0</v>
      </c>
    </row>
    <row r="408" spans="5:38" ht="16.149999999999999" thickBot="1" x14ac:dyDescent="0.55000000000000004">
      <c r="E408" s="101"/>
      <c r="F408" s="99"/>
      <c r="G408" s="4">
        <v>3</v>
      </c>
      <c r="H408" s="4">
        <v>2</v>
      </c>
      <c r="I408" s="4">
        <v>1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</row>
    <row r="409" spans="5:38" x14ac:dyDescent="0.5">
      <c r="E409" s="100">
        <v>4</v>
      </c>
      <c r="F409" s="98" t="s">
        <v>13</v>
      </c>
      <c r="G409" s="4">
        <v>5</v>
      </c>
      <c r="H409" s="4">
        <v>25</v>
      </c>
      <c r="I409" s="4">
        <v>7</v>
      </c>
      <c r="J409" s="4">
        <v>19</v>
      </c>
      <c r="K409" s="4">
        <v>27</v>
      </c>
      <c r="L409" s="4">
        <v>14</v>
      </c>
      <c r="M409" s="4">
        <v>11</v>
      </c>
      <c r="N409" s="4">
        <v>10</v>
      </c>
      <c r="O409" s="4">
        <v>30</v>
      </c>
      <c r="P409" s="4">
        <v>15</v>
      </c>
      <c r="Q409" s="4">
        <v>16</v>
      </c>
      <c r="R409" s="4">
        <v>29</v>
      </c>
      <c r="S409" s="4">
        <v>8</v>
      </c>
      <c r="T409" s="4">
        <v>24</v>
      </c>
      <c r="U409" s="4">
        <v>9</v>
      </c>
      <c r="V409" s="4">
        <v>17</v>
      </c>
      <c r="W409" s="4">
        <v>28</v>
      </c>
      <c r="X409" s="4">
        <v>20</v>
      </c>
      <c r="Y409" s="4">
        <v>22</v>
      </c>
      <c r="Z409" s="4">
        <v>13</v>
      </c>
      <c r="AA409" s="4">
        <v>18</v>
      </c>
      <c r="AB409" s="4">
        <v>32</v>
      </c>
      <c r="AC409" s="4">
        <v>6</v>
      </c>
      <c r="AD409" s="4">
        <v>23</v>
      </c>
      <c r="AE409" s="4">
        <v>12</v>
      </c>
      <c r="AF409" s="4">
        <v>21</v>
      </c>
      <c r="AG409" s="4">
        <v>31</v>
      </c>
      <c r="AH409" s="4">
        <v>26</v>
      </c>
      <c r="AI409" s="4">
        <v>0</v>
      </c>
      <c r="AJ409" s="4">
        <v>0</v>
      </c>
      <c r="AK409" s="4">
        <v>0</v>
      </c>
      <c r="AL409" s="4">
        <v>0</v>
      </c>
    </row>
    <row r="410" spans="5:38" ht="16.149999999999999" thickBot="1" x14ac:dyDescent="0.55000000000000004">
      <c r="E410" s="101"/>
      <c r="F410" s="99"/>
      <c r="G410" s="4">
        <v>4</v>
      </c>
      <c r="H410" s="4">
        <v>3</v>
      </c>
      <c r="I410" s="4">
        <v>2</v>
      </c>
      <c r="J410" s="4">
        <v>1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</row>
    <row r="411" spans="5:38" x14ac:dyDescent="0.5">
      <c r="E411" s="100">
        <v>5</v>
      </c>
      <c r="F411" s="98" t="s">
        <v>13</v>
      </c>
      <c r="G411" s="4">
        <v>25</v>
      </c>
      <c r="H411" s="4">
        <v>7</v>
      </c>
      <c r="I411" s="4">
        <v>19</v>
      </c>
      <c r="J411" s="4">
        <v>27</v>
      </c>
      <c r="K411" s="4">
        <v>14</v>
      </c>
      <c r="L411" s="4">
        <v>11</v>
      </c>
      <c r="M411" s="4">
        <v>10</v>
      </c>
      <c r="N411" s="4">
        <v>30</v>
      </c>
      <c r="O411" s="4">
        <v>15</v>
      </c>
      <c r="P411" s="4">
        <v>16</v>
      </c>
      <c r="Q411" s="4">
        <v>29</v>
      </c>
      <c r="R411" s="4">
        <v>8</v>
      </c>
      <c r="S411" s="4">
        <v>24</v>
      </c>
      <c r="T411" s="4">
        <v>9</v>
      </c>
      <c r="U411" s="4">
        <v>17</v>
      </c>
      <c r="V411" s="4">
        <v>28</v>
      </c>
      <c r="W411" s="4">
        <v>20</v>
      </c>
      <c r="X411" s="4">
        <v>22</v>
      </c>
      <c r="Y411" s="4">
        <v>13</v>
      </c>
      <c r="Z411" s="4">
        <v>18</v>
      </c>
      <c r="AA411" s="4">
        <v>32</v>
      </c>
      <c r="AB411" s="4">
        <v>6</v>
      </c>
      <c r="AC411" s="4">
        <v>23</v>
      </c>
      <c r="AD411" s="4">
        <v>12</v>
      </c>
      <c r="AE411" s="4">
        <v>21</v>
      </c>
      <c r="AF411" s="4">
        <v>31</v>
      </c>
      <c r="AG411" s="4">
        <v>26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</row>
    <row r="412" spans="5:38" ht="16.149999999999999" thickBot="1" x14ac:dyDescent="0.55000000000000004">
      <c r="E412" s="101"/>
      <c r="F412" s="99"/>
      <c r="G412" s="4">
        <v>5</v>
      </c>
      <c r="H412" s="4">
        <v>4</v>
      </c>
      <c r="I412" s="4">
        <v>3</v>
      </c>
      <c r="J412" s="4">
        <v>2</v>
      </c>
      <c r="K412" s="4">
        <v>1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</row>
    <row r="414" spans="5:38" ht="16.149999999999999" thickBot="1" x14ac:dyDescent="0.55000000000000004"/>
    <row r="415" spans="5:38" x14ac:dyDescent="0.5">
      <c r="E415" s="100">
        <v>0</v>
      </c>
      <c r="F415" s="102" t="s">
        <v>11</v>
      </c>
      <c r="G415" s="4">
        <v>1</v>
      </c>
      <c r="H415" s="4">
        <v>2</v>
      </c>
      <c r="I415" s="4">
        <v>3</v>
      </c>
      <c r="J415" s="4">
        <v>5</v>
      </c>
      <c r="K415" s="4">
        <v>4</v>
      </c>
      <c r="L415" s="4">
        <v>25</v>
      </c>
      <c r="M415" s="4">
        <v>7</v>
      </c>
      <c r="N415" s="4">
        <v>19</v>
      </c>
      <c r="O415" s="4">
        <v>27</v>
      </c>
      <c r="P415" s="4">
        <v>14</v>
      </c>
      <c r="Q415" s="4">
        <v>11</v>
      </c>
      <c r="R415" s="4">
        <v>10</v>
      </c>
      <c r="S415" s="4">
        <v>30</v>
      </c>
      <c r="T415" s="4">
        <v>15</v>
      </c>
      <c r="U415" s="4">
        <v>16</v>
      </c>
      <c r="V415" s="4">
        <v>29</v>
      </c>
      <c r="W415" s="4">
        <v>8</v>
      </c>
      <c r="X415" s="4">
        <v>24</v>
      </c>
      <c r="Y415" s="4">
        <v>9</v>
      </c>
      <c r="Z415" s="4">
        <v>17</v>
      </c>
      <c r="AA415" s="4">
        <v>28</v>
      </c>
      <c r="AB415" s="4">
        <v>20</v>
      </c>
      <c r="AC415" s="4">
        <v>22</v>
      </c>
      <c r="AD415" s="4">
        <v>13</v>
      </c>
      <c r="AE415" s="4">
        <v>18</v>
      </c>
      <c r="AF415" s="4">
        <v>32</v>
      </c>
      <c r="AG415" s="4">
        <v>6</v>
      </c>
      <c r="AH415" s="4">
        <v>23</v>
      </c>
      <c r="AI415" s="4">
        <v>12</v>
      </c>
      <c r="AJ415" s="4">
        <v>21</v>
      </c>
      <c r="AK415" s="4">
        <v>31</v>
      </c>
      <c r="AL415" s="4">
        <v>26</v>
      </c>
    </row>
    <row r="416" spans="5:38" ht="16.149999999999999" thickBot="1" x14ac:dyDescent="0.55000000000000004">
      <c r="E416" s="101"/>
      <c r="F416" s="103"/>
      <c r="G416" s="4"/>
      <c r="H416" s="4"/>
      <c r="I416" s="4"/>
      <c r="J416" s="4"/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</row>
    <row r="417" spans="5:38" x14ac:dyDescent="0.5">
      <c r="E417" s="100">
        <v>1</v>
      </c>
      <c r="F417" s="98" t="s">
        <v>13</v>
      </c>
      <c r="G417" s="4">
        <v>2</v>
      </c>
      <c r="H417" s="4">
        <v>3</v>
      </c>
      <c r="I417" s="4">
        <v>5</v>
      </c>
      <c r="J417" s="4">
        <v>4</v>
      </c>
      <c r="K417" s="4">
        <v>25</v>
      </c>
      <c r="L417" s="4">
        <v>7</v>
      </c>
      <c r="M417" s="4">
        <v>19</v>
      </c>
      <c r="N417" s="4">
        <v>27</v>
      </c>
      <c r="O417" s="4">
        <v>14</v>
      </c>
      <c r="P417" s="4">
        <v>11</v>
      </c>
      <c r="Q417" s="4">
        <v>10</v>
      </c>
      <c r="R417" s="4">
        <v>30</v>
      </c>
      <c r="S417" s="4">
        <v>15</v>
      </c>
      <c r="T417" s="4">
        <v>16</v>
      </c>
      <c r="U417" s="4">
        <v>29</v>
      </c>
      <c r="V417" s="4">
        <v>8</v>
      </c>
      <c r="W417" s="4">
        <v>24</v>
      </c>
      <c r="X417" s="4">
        <v>9</v>
      </c>
      <c r="Y417" s="4">
        <v>17</v>
      </c>
      <c r="Z417" s="4">
        <v>28</v>
      </c>
      <c r="AA417" s="4">
        <v>20</v>
      </c>
      <c r="AB417" s="4">
        <v>22</v>
      </c>
      <c r="AC417" s="4">
        <v>13</v>
      </c>
      <c r="AD417" s="4">
        <v>18</v>
      </c>
      <c r="AE417" s="4">
        <v>32</v>
      </c>
      <c r="AF417" s="4">
        <v>6</v>
      </c>
      <c r="AG417" s="4">
        <v>23</v>
      </c>
      <c r="AH417" s="4">
        <v>12</v>
      </c>
      <c r="AI417" s="4">
        <v>21</v>
      </c>
      <c r="AJ417" s="4">
        <v>31</v>
      </c>
      <c r="AK417" s="4">
        <v>26</v>
      </c>
      <c r="AL417" s="4">
        <v>0</v>
      </c>
    </row>
    <row r="418" spans="5:38" ht="16.149999999999999" thickBot="1" x14ac:dyDescent="0.55000000000000004">
      <c r="E418" s="101"/>
      <c r="F418" s="99"/>
      <c r="G418" s="4">
        <v>1</v>
      </c>
      <c r="H418" s="4">
        <v>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</row>
    <row r="419" spans="5:38" x14ac:dyDescent="0.5">
      <c r="E419" s="100">
        <v>2</v>
      </c>
      <c r="F419" s="98" t="s">
        <v>13</v>
      </c>
      <c r="G419" s="4">
        <v>3</v>
      </c>
      <c r="H419" s="4">
        <v>5</v>
      </c>
      <c r="I419" s="4">
        <v>4</v>
      </c>
      <c r="J419" s="4">
        <v>25</v>
      </c>
      <c r="K419" s="4">
        <v>7</v>
      </c>
      <c r="L419" s="4">
        <v>19</v>
      </c>
      <c r="M419" s="4">
        <v>27</v>
      </c>
      <c r="N419" s="4">
        <v>14</v>
      </c>
      <c r="O419" s="4">
        <v>11</v>
      </c>
      <c r="P419" s="4">
        <v>10</v>
      </c>
      <c r="Q419" s="4">
        <v>30</v>
      </c>
      <c r="R419" s="4">
        <v>15</v>
      </c>
      <c r="S419" s="4">
        <v>16</v>
      </c>
      <c r="T419" s="4">
        <v>29</v>
      </c>
      <c r="U419" s="4">
        <v>8</v>
      </c>
      <c r="V419" s="4">
        <v>24</v>
      </c>
      <c r="W419" s="4">
        <v>9</v>
      </c>
      <c r="X419" s="4">
        <v>17</v>
      </c>
      <c r="Y419" s="4">
        <v>28</v>
      </c>
      <c r="Z419" s="4">
        <v>20</v>
      </c>
      <c r="AA419" s="4">
        <v>22</v>
      </c>
      <c r="AB419" s="4">
        <v>13</v>
      </c>
      <c r="AC419" s="4">
        <v>18</v>
      </c>
      <c r="AD419" s="4">
        <v>32</v>
      </c>
      <c r="AE419" s="4">
        <v>6</v>
      </c>
      <c r="AF419" s="4">
        <v>23</v>
      </c>
      <c r="AG419" s="4">
        <v>12</v>
      </c>
      <c r="AH419" s="4">
        <v>21</v>
      </c>
      <c r="AI419" s="4">
        <v>31</v>
      </c>
      <c r="AJ419" s="4">
        <v>26</v>
      </c>
      <c r="AK419" s="4">
        <v>0</v>
      </c>
      <c r="AL419" s="4">
        <v>0</v>
      </c>
    </row>
    <row r="420" spans="5:38" ht="16.149999999999999" thickBot="1" x14ac:dyDescent="0.55000000000000004">
      <c r="E420" s="101"/>
      <c r="F420" s="99"/>
      <c r="G420" s="4">
        <v>2</v>
      </c>
      <c r="H420" s="4">
        <v>1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</row>
    <row r="421" spans="5:38" x14ac:dyDescent="0.5">
      <c r="E421" s="100">
        <v>3</v>
      </c>
      <c r="F421" s="98" t="s">
        <v>13</v>
      </c>
      <c r="G421" s="4">
        <v>5</v>
      </c>
      <c r="H421" s="4">
        <v>4</v>
      </c>
      <c r="I421" s="4">
        <v>25</v>
      </c>
      <c r="J421" s="4">
        <v>7</v>
      </c>
      <c r="K421" s="4">
        <v>19</v>
      </c>
      <c r="L421" s="4">
        <v>27</v>
      </c>
      <c r="M421" s="4">
        <v>14</v>
      </c>
      <c r="N421" s="4">
        <v>11</v>
      </c>
      <c r="O421" s="4">
        <v>10</v>
      </c>
      <c r="P421" s="4">
        <v>30</v>
      </c>
      <c r="Q421" s="4">
        <v>15</v>
      </c>
      <c r="R421" s="4">
        <v>16</v>
      </c>
      <c r="S421" s="4">
        <v>29</v>
      </c>
      <c r="T421" s="4">
        <v>8</v>
      </c>
      <c r="U421" s="4">
        <v>24</v>
      </c>
      <c r="V421" s="4">
        <v>9</v>
      </c>
      <c r="W421" s="4">
        <v>17</v>
      </c>
      <c r="X421" s="4">
        <v>28</v>
      </c>
      <c r="Y421" s="4">
        <v>20</v>
      </c>
      <c r="Z421" s="4">
        <v>22</v>
      </c>
      <c r="AA421" s="4">
        <v>13</v>
      </c>
      <c r="AB421" s="4">
        <v>18</v>
      </c>
      <c r="AC421" s="4">
        <v>32</v>
      </c>
      <c r="AD421" s="4">
        <v>6</v>
      </c>
      <c r="AE421" s="4">
        <v>23</v>
      </c>
      <c r="AF421" s="4">
        <v>12</v>
      </c>
      <c r="AG421" s="4">
        <v>21</v>
      </c>
      <c r="AH421" s="4">
        <v>31</v>
      </c>
      <c r="AI421" s="4">
        <v>26</v>
      </c>
      <c r="AJ421" s="4">
        <v>0</v>
      </c>
      <c r="AK421" s="4">
        <v>0</v>
      </c>
      <c r="AL421" s="4">
        <v>0</v>
      </c>
    </row>
    <row r="422" spans="5:38" ht="16.149999999999999" thickBot="1" x14ac:dyDescent="0.55000000000000004">
      <c r="E422" s="101"/>
      <c r="F422" s="99"/>
      <c r="G422" s="4">
        <v>3</v>
      </c>
      <c r="H422" s="4">
        <v>2</v>
      </c>
      <c r="I422" s="4">
        <v>1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</row>
    <row r="423" spans="5:38" x14ac:dyDescent="0.5">
      <c r="E423" s="100">
        <v>4</v>
      </c>
      <c r="F423" s="98" t="s">
        <v>18</v>
      </c>
      <c r="G423" s="4">
        <v>4</v>
      </c>
      <c r="H423" s="4">
        <v>5</v>
      </c>
      <c r="I423" s="4">
        <v>25</v>
      </c>
      <c r="J423" s="4">
        <v>7</v>
      </c>
      <c r="K423" s="4">
        <v>19</v>
      </c>
      <c r="L423" s="4">
        <v>27</v>
      </c>
      <c r="M423" s="4">
        <v>14</v>
      </c>
      <c r="N423" s="4">
        <v>11</v>
      </c>
      <c r="O423" s="4">
        <v>10</v>
      </c>
      <c r="P423" s="4">
        <v>30</v>
      </c>
      <c r="Q423" s="4">
        <v>15</v>
      </c>
      <c r="R423" s="4">
        <v>16</v>
      </c>
      <c r="S423" s="4">
        <v>29</v>
      </c>
      <c r="T423" s="4">
        <v>8</v>
      </c>
      <c r="U423" s="4">
        <v>24</v>
      </c>
      <c r="V423" s="4">
        <v>9</v>
      </c>
      <c r="W423" s="4">
        <v>17</v>
      </c>
      <c r="X423" s="4">
        <v>28</v>
      </c>
      <c r="Y423" s="4">
        <v>20</v>
      </c>
      <c r="Z423" s="4">
        <v>22</v>
      </c>
      <c r="AA423" s="4">
        <v>13</v>
      </c>
      <c r="AB423" s="4">
        <v>18</v>
      </c>
      <c r="AC423" s="4">
        <v>32</v>
      </c>
      <c r="AD423" s="4">
        <v>6</v>
      </c>
      <c r="AE423" s="4">
        <v>23</v>
      </c>
      <c r="AF423" s="4">
        <v>12</v>
      </c>
      <c r="AG423" s="4">
        <v>21</v>
      </c>
      <c r="AH423" s="4">
        <v>31</v>
      </c>
      <c r="AI423" s="4">
        <v>26</v>
      </c>
      <c r="AJ423" s="4">
        <v>0</v>
      </c>
      <c r="AK423" s="4">
        <v>0</v>
      </c>
      <c r="AL423" s="4">
        <v>0</v>
      </c>
    </row>
    <row r="424" spans="5:38" ht="16.149999999999999" thickBot="1" x14ac:dyDescent="0.55000000000000004">
      <c r="E424" s="101"/>
      <c r="F424" s="99"/>
      <c r="G424" s="4">
        <v>3</v>
      </c>
      <c r="H424" s="4">
        <v>2</v>
      </c>
      <c r="I424" s="4">
        <v>1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0</v>
      </c>
      <c r="V424" s="4">
        <v>0</v>
      </c>
      <c r="W424" s="4">
        <v>0</v>
      </c>
      <c r="X424" s="4">
        <v>0</v>
      </c>
      <c r="Y424" s="4">
        <v>0</v>
      </c>
      <c r="Z424" s="4">
        <v>0</v>
      </c>
      <c r="AA424" s="4">
        <v>0</v>
      </c>
      <c r="AB424" s="4">
        <v>0</v>
      </c>
      <c r="AC424" s="4">
        <v>0</v>
      </c>
      <c r="AD424" s="4">
        <v>0</v>
      </c>
      <c r="AE424" s="4">
        <v>0</v>
      </c>
      <c r="AF424" s="4">
        <v>0</v>
      </c>
      <c r="AG424" s="4">
        <v>0</v>
      </c>
      <c r="AH424" s="4">
        <v>0</v>
      </c>
      <c r="AI424" s="4">
        <v>0</v>
      </c>
      <c r="AJ424" s="4">
        <v>0</v>
      </c>
      <c r="AK424" s="4">
        <v>0</v>
      </c>
      <c r="AL424" s="4">
        <v>0</v>
      </c>
    </row>
    <row r="425" spans="5:38" x14ac:dyDescent="0.5">
      <c r="E425" s="100">
        <v>5</v>
      </c>
      <c r="F425" s="98" t="s">
        <v>13</v>
      </c>
      <c r="G425" s="4">
        <v>5</v>
      </c>
      <c r="H425" s="4">
        <v>25</v>
      </c>
      <c r="I425" s="4">
        <v>7</v>
      </c>
      <c r="J425" s="4">
        <v>19</v>
      </c>
      <c r="K425" s="4">
        <v>27</v>
      </c>
      <c r="L425" s="4">
        <v>14</v>
      </c>
      <c r="M425" s="4">
        <v>11</v>
      </c>
      <c r="N425" s="4">
        <v>10</v>
      </c>
      <c r="O425" s="4">
        <v>30</v>
      </c>
      <c r="P425" s="4">
        <v>15</v>
      </c>
      <c r="Q425" s="4">
        <v>16</v>
      </c>
      <c r="R425" s="4">
        <v>29</v>
      </c>
      <c r="S425" s="4">
        <v>8</v>
      </c>
      <c r="T425" s="4">
        <v>24</v>
      </c>
      <c r="U425" s="4">
        <v>9</v>
      </c>
      <c r="V425" s="4">
        <v>17</v>
      </c>
      <c r="W425" s="4">
        <v>28</v>
      </c>
      <c r="X425" s="4">
        <v>20</v>
      </c>
      <c r="Y425" s="4">
        <v>22</v>
      </c>
      <c r="Z425" s="4">
        <v>13</v>
      </c>
      <c r="AA425" s="4">
        <v>18</v>
      </c>
      <c r="AB425" s="4">
        <v>32</v>
      </c>
      <c r="AC425" s="4">
        <v>6</v>
      </c>
      <c r="AD425" s="4">
        <v>23</v>
      </c>
      <c r="AE425" s="4">
        <v>12</v>
      </c>
      <c r="AF425" s="4">
        <v>21</v>
      </c>
      <c r="AG425" s="4">
        <v>31</v>
      </c>
      <c r="AH425" s="4">
        <v>26</v>
      </c>
      <c r="AI425" s="4">
        <v>0</v>
      </c>
      <c r="AJ425" s="4">
        <v>0</v>
      </c>
      <c r="AK425" s="4">
        <v>0</v>
      </c>
      <c r="AL425" s="4">
        <v>0</v>
      </c>
    </row>
    <row r="426" spans="5:38" ht="16.149999999999999" thickBot="1" x14ac:dyDescent="0.55000000000000004">
      <c r="E426" s="101"/>
      <c r="F426" s="99"/>
      <c r="G426" s="4">
        <v>4</v>
      </c>
      <c r="H426" s="4">
        <v>3</v>
      </c>
      <c r="I426" s="4">
        <v>2</v>
      </c>
      <c r="J426" s="4">
        <v>1</v>
      </c>
      <c r="K426" s="4">
        <v>0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0</v>
      </c>
      <c r="Z426" s="4">
        <v>0</v>
      </c>
      <c r="AA426" s="4">
        <v>0</v>
      </c>
      <c r="AB426" s="4">
        <v>0</v>
      </c>
      <c r="AC426" s="4">
        <v>0</v>
      </c>
      <c r="AD426" s="4">
        <v>0</v>
      </c>
      <c r="AE426" s="4">
        <v>0</v>
      </c>
      <c r="AF426" s="4">
        <v>0</v>
      </c>
      <c r="AG426" s="4">
        <v>0</v>
      </c>
      <c r="AH426" s="4">
        <v>0</v>
      </c>
      <c r="AI426" s="4">
        <v>0</v>
      </c>
      <c r="AJ426" s="4">
        <v>0</v>
      </c>
      <c r="AK426" s="4">
        <v>0</v>
      </c>
      <c r="AL426" s="4">
        <v>0</v>
      </c>
    </row>
    <row r="427" spans="5:38" x14ac:dyDescent="0.5">
      <c r="E427" s="100">
        <v>6</v>
      </c>
      <c r="F427" s="98" t="s">
        <v>13</v>
      </c>
      <c r="G427" s="4">
        <v>25</v>
      </c>
      <c r="H427" s="4">
        <v>7</v>
      </c>
      <c r="I427" s="4">
        <v>19</v>
      </c>
      <c r="J427" s="4">
        <v>27</v>
      </c>
      <c r="K427" s="4">
        <v>14</v>
      </c>
      <c r="L427" s="4">
        <v>11</v>
      </c>
      <c r="M427" s="4">
        <v>10</v>
      </c>
      <c r="N427" s="4">
        <v>30</v>
      </c>
      <c r="O427" s="4">
        <v>15</v>
      </c>
      <c r="P427" s="4">
        <v>16</v>
      </c>
      <c r="Q427" s="4">
        <v>29</v>
      </c>
      <c r="R427" s="4">
        <v>8</v>
      </c>
      <c r="S427" s="4">
        <v>24</v>
      </c>
      <c r="T427" s="4">
        <v>9</v>
      </c>
      <c r="U427" s="4">
        <v>17</v>
      </c>
      <c r="V427" s="4">
        <v>28</v>
      </c>
      <c r="W427" s="4">
        <v>20</v>
      </c>
      <c r="X427" s="4">
        <v>22</v>
      </c>
      <c r="Y427" s="4">
        <v>13</v>
      </c>
      <c r="Z427" s="4">
        <v>18</v>
      </c>
      <c r="AA427" s="4">
        <v>32</v>
      </c>
      <c r="AB427" s="4">
        <v>6</v>
      </c>
      <c r="AC427" s="4">
        <v>23</v>
      </c>
      <c r="AD427" s="4">
        <v>12</v>
      </c>
      <c r="AE427" s="4">
        <v>21</v>
      </c>
      <c r="AF427" s="4">
        <v>31</v>
      </c>
      <c r="AG427" s="4">
        <v>26</v>
      </c>
      <c r="AH427" s="4">
        <v>0</v>
      </c>
      <c r="AI427" s="4">
        <v>0</v>
      </c>
      <c r="AJ427" s="4">
        <v>0</v>
      </c>
      <c r="AK427" s="4">
        <v>0</v>
      </c>
      <c r="AL427" s="4">
        <v>0</v>
      </c>
    </row>
    <row r="428" spans="5:38" ht="16.149999999999999" thickBot="1" x14ac:dyDescent="0.55000000000000004">
      <c r="E428" s="101"/>
      <c r="F428" s="99"/>
      <c r="G428" s="4">
        <v>5</v>
      </c>
      <c r="H428" s="4">
        <v>4</v>
      </c>
      <c r="I428" s="4">
        <v>3</v>
      </c>
      <c r="J428" s="4">
        <v>2</v>
      </c>
      <c r="K428" s="4">
        <v>1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0</v>
      </c>
      <c r="Y428" s="4">
        <v>0</v>
      </c>
      <c r="Z428" s="4">
        <v>0</v>
      </c>
      <c r="AA428" s="4">
        <v>0</v>
      </c>
      <c r="AB428" s="4">
        <v>0</v>
      </c>
      <c r="AC428" s="4">
        <v>0</v>
      </c>
      <c r="AD428" s="4">
        <v>0</v>
      </c>
      <c r="AE428" s="4">
        <v>0</v>
      </c>
      <c r="AF428" s="4">
        <v>0</v>
      </c>
      <c r="AG428" s="4">
        <v>0</v>
      </c>
      <c r="AH428" s="4">
        <v>0</v>
      </c>
      <c r="AI428" s="4">
        <v>0</v>
      </c>
      <c r="AJ428" s="4">
        <v>0</v>
      </c>
      <c r="AK428" s="4">
        <v>0</v>
      </c>
      <c r="AL428" s="4">
        <v>0</v>
      </c>
    </row>
    <row r="430" spans="5:38" ht="16.149999999999999" thickBot="1" x14ac:dyDescent="0.55000000000000004"/>
    <row r="431" spans="5:38" x14ac:dyDescent="0.5">
      <c r="E431" s="100">
        <v>0</v>
      </c>
      <c r="F431" s="102" t="s">
        <v>11</v>
      </c>
      <c r="G431" s="4">
        <v>1</v>
      </c>
      <c r="H431" s="4">
        <v>2</v>
      </c>
      <c r="I431" s="4">
        <v>4</v>
      </c>
      <c r="J431" s="4">
        <v>3</v>
      </c>
      <c r="K431" s="4">
        <v>5</v>
      </c>
      <c r="L431" s="4">
        <v>25</v>
      </c>
      <c r="M431" s="4">
        <v>7</v>
      </c>
      <c r="N431" s="4">
        <v>19</v>
      </c>
      <c r="O431" s="4">
        <v>27</v>
      </c>
      <c r="P431" s="4">
        <v>14</v>
      </c>
      <c r="Q431" s="4">
        <v>11</v>
      </c>
      <c r="R431" s="4">
        <v>10</v>
      </c>
      <c r="S431" s="4">
        <v>30</v>
      </c>
      <c r="T431" s="4">
        <v>15</v>
      </c>
      <c r="U431" s="4">
        <v>16</v>
      </c>
      <c r="V431" s="4">
        <v>29</v>
      </c>
      <c r="W431" s="4">
        <v>8</v>
      </c>
      <c r="X431" s="4">
        <v>24</v>
      </c>
      <c r="Y431" s="4">
        <v>9</v>
      </c>
      <c r="Z431" s="4">
        <v>17</v>
      </c>
      <c r="AA431" s="4">
        <v>28</v>
      </c>
      <c r="AB431" s="4">
        <v>20</v>
      </c>
      <c r="AC431" s="4">
        <v>22</v>
      </c>
      <c r="AD431" s="4">
        <v>13</v>
      </c>
      <c r="AE431" s="4">
        <v>18</v>
      </c>
      <c r="AF431" s="4">
        <v>32</v>
      </c>
      <c r="AG431" s="4">
        <v>6</v>
      </c>
      <c r="AH431" s="4">
        <v>23</v>
      </c>
      <c r="AI431" s="4">
        <v>12</v>
      </c>
      <c r="AJ431" s="4">
        <v>21</v>
      </c>
      <c r="AK431" s="4">
        <v>31</v>
      </c>
      <c r="AL431" s="4">
        <v>26</v>
      </c>
    </row>
    <row r="432" spans="5:38" ht="16.149999999999999" thickBot="1" x14ac:dyDescent="0.55000000000000004">
      <c r="E432" s="101"/>
      <c r="F432" s="103"/>
      <c r="G432" s="4"/>
      <c r="H432" s="4"/>
      <c r="I432" s="4"/>
      <c r="J432" s="4"/>
      <c r="K432" s="4">
        <v>0</v>
      </c>
      <c r="L432" s="4">
        <v>0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0</v>
      </c>
      <c r="V432" s="4">
        <v>0</v>
      </c>
      <c r="W432" s="4">
        <v>0</v>
      </c>
      <c r="X432" s="4">
        <v>0</v>
      </c>
      <c r="Y432" s="4">
        <v>0</v>
      </c>
      <c r="Z432" s="4">
        <v>0</v>
      </c>
      <c r="AA432" s="4">
        <v>0</v>
      </c>
      <c r="AB432" s="4">
        <v>0</v>
      </c>
      <c r="AC432" s="4">
        <v>0</v>
      </c>
      <c r="AD432" s="4">
        <v>0</v>
      </c>
      <c r="AE432" s="4">
        <v>0</v>
      </c>
      <c r="AF432" s="4">
        <v>0</v>
      </c>
      <c r="AG432" s="4">
        <v>0</v>
      </c>
      <c r="AH432" s="4">
        <v>0</v>
      </c>
      <c r="AI432" s="4">
        <v>0</v>
      </c>
      <c r="AJ432" s="4">
        <v>0</v>
      </c>
      <c r="AK432" s="4">
        <v>0</v>
      </c>
      <c r="AL432" s="4">
        <v>0</v>
      </c>
    </row>
    <row r="433" spans="5:38" x14ac:dyDescent="0.5">
      <c r="E433" s="100">
        <v>1</v>
      </c>
      <c r="F433" s="98" t="s">
        <v>13</v>
      </c>
      <c r="G433" s="4">
        <v>2</v>
      </c>
      <c r="H433" s="4">
        <v>4</v>
      </c>
      <c r="I433" s="4">
        <v>3</v>
      </c>
      <c r="J433" s="4">
        <v>5</v>
      </c>
      <c r="K433" s="4">
        <v>25</v>
      </c>
      <c r="L433" s="4">
        <v>7</v>
      </c>
      <c r="M433" s="4">
        <v>19</v>
      </c>
      <c r="N433" s="4">
        <v>27</v>
      </c>
      <c r="O433" s="4">
        <v>14</v>
      </c>
      <c r="P433" s="4">
        <v>11</v>
      </c>
      <c r="Q433" s="4">
        <v>10</v>
      </c>
      <c r="R433" s="4">
        <v>30</v>
      </c>
      <c r="S433" s="4">
        <v>15</v>
      </c>
      <c r="T433" s="4">
        <v>16</v>
      </c>
      <c r="U433" s="4">
        <v>29</v>
      </c>
      <c r="V433" s="4">
        <v>8</v>
      </c>
      <c r="W433" s="4">
        <v>24</v>
      </c>
      <c r="X433" s="4">
        <v>9</v>
      </c>
      <c r="Y433" s="4">
        <v>17</v>
      </c>
      <c r="Z433" s="4">
        <v>28</v>
      </c>
      <c r="AA433" s="4">
        <v>20</v>
      </c>
      <c r="AB433" s="4">
        <v>22</v>
      </c>
      <c r="AC433" s="4">
        <v>13</v>
      </c>
      <c r="AD433" s="4">
        <v>18</v>
      </c>
      <c r="AE433" s="4">
        <v>32</v>
      </c>
      <c r="AF433" s="4">
        <v>6</v>
      </c>
      <c r="AG433" s="4">
        <v>23</v>
      </c>
      <c r="AH433" s="4">
        <v>12</v>
      </c>
      <c r="AI433" s="4">
        <v>21</v>
      </c>
      <c r="AJ433" s="4">
        <v>31</v>
      </c>
      <c r="AK433" s="4">
        <v>26</v>
      </c>
      <c r="AL433" s="4">
        <v>0</v>
      </c>
    </row>
    <row r="434" spans="5:38" ht="16.149999999999999" thickBot="1" x14ac:dyDescent="0.55000000000000004">
      <c r="E434" s="101"/>
      <c r="F434" s="99"/>
      <c r="G434" s="4">
        <v>1</v>
      </c>
      <c r="H434" s="4">
        <v>0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0</v>
      </c>
      <c r="V434" s="4">
        <v>0</v>
      </c>
      <c r="W434" s="4">
        <v>0</v>
      </c>
      <c r="X434" s="4">
        <v>0</v>
      </c>
      <c r="Y434" s="4">
        <v>0</v>
      </c>
      <c r="Z434" s="4">
        <v>0</v>
      </c>
      <c r="AA434" s="4">
        <v>0</v>
      </c>
      <c r="AB434" s="4">
        <v>0</v>
      </c>
      <c r="AC434" s="4">
        <v>0</v>
      </c>
      <c r="AD434" s="4">
        <v>0</v>
      </c>
      <c r="AE434" s="4">
        <v>0</v>
      </c>
      <c r="AF434" s="4">
        <v>0</v>
      </c>
      <c r="AG434" s="4">
        <v>0</v>
      </c>
      <c r="AH434" s="4">
        <v>0</v>
      </c>
      <c r="AI434" s="4">
        <v>0</v>
      </c>
      <c r="AJ434" s="4">
        <v>0</v>
      </c>
      <c r="AK434" s="4">
        <v>0</v>
      </c>
      <c r="AL434" s="4">
        <v>0</v>
      </c>
    </row>
    <row r="435" spans="5:38" x14ac:dyDescent="0.5">
      <c r="E435" s="100">
        <v>2</v>
      </c>
      <c r="F435" s="98" t="s">
        <v>13</v>
      </c>
      <c r="G435" s="4">
        <v>4</v>
      </c>
      <c r="H435" s="4">
        <v>3</v>
      </c>
      <c r="I435" s="4">
        <v>5</v>
      </c>
      <c r="J435" s="4">
        <v>25</v>
      </c>
      <c r="K435" s="4">
        <v>7</v>
      </c>
      <c r="L435" s="4">
        <v>19</v>
      </c>
      <c r="M435" s="4">
        <v>27</v>
      </c>
      <c r="N435" s="4">
        <v>14</v>
      </c>
      <c r="O435" s="4">
        <v>11</v>
      </c>
      <c r="P435" s="4">
        <v>10</v>
      </c>
      <c r="Q435" s="4">
        <v>30</v>
      </c>
      <c r="R435" s="4">
        <v>15</v>
      </c>
      <c r="S435" s="4">
        <v>16</v>
      </c>
      <c r="T435" s="4">
        <v>29</v>
      </c>
      <c r="U435" s="4">
        <v>8</v>
      </c>
      <c r="V435" s="4">
        <v>24</v>
      </c>
      <c r="W435" s="4">
        <v>9</v>
      </c>
      <c r="X435" s="4">
        <v>17</v>
      </c>
      <c r="Y435" s="4">
        <v>28</v>
      </c>
      <c r="Z435" s="4">
        <v>20</v>
      </c>
      <c r="AA435" s="4">
        <v>22</v>
      </c>
      <c r="AB435" s="4">
        <v>13</v>
      </c>
      <c r="AC435" s="4">
        <v>18</v>
      </c>
      <c r="AD435" s="4">
        <v>32</v>
      </c>
      <c r="AE435" s="4">
        <v>6</v>
      </c>
      <c r="AF435" s="4">
        <v>23</v>
      </c>
      <c r="AG435" s="4">
        <v>12</v>
      </c>
      <c r="AH435" s="4">
        <v>21</v>
      </c>
      <c r="AI435" s="4">
        <v>31</v>
      </c>
      <c r="AJ435" s="4">
        <v>26</v>
      </c>
      <c r="AK435" s="4">
        <v>0</v>
      </c>
      <c r="AL435" s="4">
        <v>0</v>
      </c>
    </row>
    <row r="436" spans="5:38" ht="16.149999999999999" thickBot="1" x14ac:dyDescent="0.55000000000000004">
      <c r="E436" s="101"/>
      <c r="F436" s="99"/>
      <c r="G436" s="4">
        <v>2</v>
      </c>
      <c r="H436" s="4">
        <v>1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4">
        <v>0</v>
      </c>
      <c r="P436" s="4">
        <v>0</v>
      </c>
      <c r="Q436" s="4">
        <v>0</v>
      </c>
      <c r="R436" s="4">
        <v>0</v>
      </c>
      <c r="S436" s="4">
        <v>0</v>
      </c>
      <c r="T436" s="4">
        <v>0</v>
      </c>
      <c r="U436" s="4">
        <v>0</v>
      </c>
      <c r="V436" s="4">
        <v>0</v>
      </c>
      <c r="W436" s="4">
        <v>0</v>
      </c>
      <c r="X436" s="4">
        <v>0</v>
      </c>
      <c r="Y436" s="4">
        <v>0</v>
      </c>
      <c r="Z436" s="4">
        <v>0</v>
      </c>
      <c r="AA436" s="4">
        <v>0</v>
      </c>
      <c r="AB436" s="4">
        <v>0</v>
      </c>
      <c r="AC436" s="4">
        <v>0</v>
      </c>
      <c r="AD436" s="4">
        <v>0</v>
      </c>
      <c r="AE436" s="4">
        <v>0</v>
      </c>
      <c r="AF436" s="4">
        <v>0</v>
      </c>
      <c r="AG436" s="4">
        <v>0</v>
      </c>
      <c r="AH436" s="4">
        <v>0</v>
      </c>
      <c r="AI436" s="4">
        <v>0</v>
      </c>
      <c r="AJ436" s="4">
        <v>0</v>
      </c>
      <c r="AK436" s="4">
        <v>0</v>
      </c>
      <c r="AL436" s="4">
        <v>0</v>
      </c>
    </row>
    <row r="437" spans="5:38" x14ac:dyDescent="0.5">
      <c r="E437" s="100">
        <v>3</v>
      </c>
      <c r="F437" s="98" t="s">
        <v>18</v>
      </c>
      <c r="G437" s="4">
        <v>3</v>
      </c>
      <c r="H437" s="4">
        <v>4</v>
      </c>
      <c r="I437" s="4">
        <v>5</v>
      </c>
      <c r="J437" s="4">
        <v>25</v>
      </c>
      <c r="K437" s="4">
        <v>7</v>
      </c>
      <c r="L437" s="4">
        <v>19</v>
      </c>
      <c r="M437" s="4">
        <v>27</v>
      </c>
      <c r="N437" s="4">
        <v>14</v>
      </c>
      <c r="O437" s="4">
        <v>11</v>
      </c>
      <c r="P437" s="4">
        <v>10</v>
      </c>
      <c r="Q437" s="4">
        <v>30</v>
      </c>
      <c r="R437" s="4">
        <v>15</v>
      </c>
      <c r="S437" s="4">
        <v>16</v>
      </c>
      <c r="T437" s="4">
        <v>29</v>
      </c>
      <c r="U437" s="4">
        <v>8</v>
      </c>
      <c r="V437" s="4">
        <v>24</v>
      </c>
      <c r="W437" s="4">
        <v>9</v>
      </c>
      <c r="X437" s="4">
        <v>17</v>
      </c>
      <c r="Y437" s="4">
        <v>28</v>
      </c>
      <c r="Z437" s="4">
        <v>20</v>
      </c>
      <c r="AA437" s="4">
        <v>22</v>
      </c>
      <c r="AB437" s="4">
        <v>13</v>
      </c>
      <c r="AC437" s="4">
        <v>18</v>
      </c>
      <c r="AD437" s="4">
        <v>32</v>
      </c>
      <c r="AE437" s="4">
        <v>6</v>
      </c>
      <c r="AF437" s="4">
        <v>23</v>
      </c>
      <c r="AG437" s="4">
        <v>12</v>
      </c>
      <c r="AH437" s="4">
        <v>21</v>
      </c>
      <c r="AI437" s="4">
        <v>31</v>
      </c>
      <c r="AJ437" s="4">
        <v>26</v>
      </c>
      <c r="AK437" s="4">
        <v>0</v>
      </c>
      <c r="AL437" s="4">
        <v>0</v>
      </c>
    </row>
    <row r="438" spans="5:38" ht="16.149999999999999" thickBot="1" x14ac:dyDescent="0.55000000000000004">
      <c r="E438" s="101"/>
      <c r="F438" s="99"/>
      <c r="G438" s="4">
        <v>2</v>
      </c>
      <c r="H438" s="4">
        <v>1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0</v>
      </c>
      <c r="AL438" s="4">
        <v>0</v>
      </c>
    </row>
    <row r="439" spans="5:38" x14ac:dyDescent="0.5">
      <c r="E439" s="100">
        <v>4</v>
      </c>
      <c r="F439" s="98" t="s">
        <v>13</v>
      </c>
      <c r="G439" s="4">
        <v>4</v>
      </c>
      <c r="H439" s="4">
        <v>5</v>
      </c>
      <c r="I439" s="4">
        <v>25</v>
      </c>
      <c r="J439" s="4">
        <v>7</v>
      </c>
      <c r="K439" s="4">
        <v>19</v>
      </c>
      <c r="L439" s="4">
        <v>27</v>
      </c>
      <c r="M439" s="4">
        <v>14</v>
      </c>
      <c r="N439" s="4">
        <v>11</v>
      </c>
      <c r="O439" s="4">
        <v>10</v>
      </c>
      <c r="P439" s="4">
        <v>30</v>
      </c>
      <c r="Q439" s="4">
        <v>15</v>
      </c>
      <c r="R439" s="4">
        <v>16</v>
      </c>
      <c r="S439" s="4">
        <v>29</v>
      </c>
      <c r="T439" s="4">
        <v>8</v>
      </c>
      <c r="U439" s="4">
        <v>24</v>
      </c>
      <c r="V439" s="4">
        <v>9</v>
      </c>
      <c r="W439" s="4">
        <v>17</v>
      </c>
      <c r="X439" s="4">
        <v>28</v>
      </c>
      <c r="Y439" s="4">
        <v>20</v>
      </c>
      <c r="Z439" s="4">
        <v>22</v>
      </c>
      <c r="AA439" s="4">
        <v>13</v>
      </c>
      <c r="AB439" s="4">
        <v>18</v>
      </c>
      <c r="AC439" s="4">
        <v>32</v>
      </c>
      <c r="AD439" s="4">
        <v>6</v>
      </c>
      <c r="AE439" s="4">
        <v>23</v>
      </c>
      <c r="AF439" s="4">
        <v>12</v>
      </c>
      <c r="AG439" s="4">
        <v>21</v>
      </c>
      <c r="AH439" s="4">
        <v>31</v>
      </c>
      <c r="AI439" s="4">
        <v>26</v>
      </c>
      <c r="AJ439" s="4">
        <v>0</v>
      </c>
      <c r="AK439" s="4">
        <v>0</v>
      </c>
      <c r="AL439" s="4">
        <v>0</v>
      </c>
    </row>
    <row r="440" spans="5:38" ht="16.149999999999999" thickBot="1" x14ac:dyDescent="0.55000000000000004">
      <c r="E440" s="101"/>
      <c r="F440" s="99"/>
      <c r="G440" s="4">
        <v>3</v>
      </c>
      <c r="H440" s="4">
        <v>2</v>
      </c>
      <c r="I440" s="4">
        <v>1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4">
        <v>0</v>
      </c>
    </row>
    <row r="441" spans="5:38" x14ac:dyDescent="0.5">
      <c r="E441" s="100">
        <v>5</v>
      </c>
      <c r="F441" s="98" t="s">
        <v>13</v>
      </c>
      <c r="G441" s="4">
        <v>5</v>
      </c>
      <c r="H441" s="4">
        <v>25</v>
      </c>
      <c r="I441" s="4">
        <v>7</v>
      </c>
      <c r="J441" s="4">
        <v>19</v>
      </c>
      <c r="K441" s="4">
        <v>27</v>
      </c>
      <c r="L441" s="4">
        <v>14</v>
      </c>
      <c r="M441" s="4">
        <v>11</v>
      </c>
      <c r="N441" s="4">
        <v>10</v>
      </c>
      <c r="O441" s="4">
        <v>30</v>
      </c>
      <c r="P441" s="4">
        <v>15</v>
      </c>
      <c r="Q441" s="4">
        <v>16</v>
      </c>
      <c r="R441" s="4">
        <v>29</v>
      </c>
      <c r="S441" s="4">
        <v>8</v>
      </c>
      <c r="T441" s="4">
        <v>24</v>
      </c>
      <c r="U441" s="4">
        <v>9</v>
      </c>
      <c r="V441" s="4">
        <v>17</v>
      </c>
      <c r="W441" s="4">
        <v>28</v>
      </c>
      <c r="X441" s="4">
        <v>20</v>
      </c>
      <c r="Y441" s="4">
        <v>22</v>
      </c>
      <c r="Z441" s="4">
        <v>13</v>
      </c>
      <c r="AA441" s="4">
        <v>18</v>
      </c>
      <c r="AB441" s="4">
        <v>32</v>
      </c>
      <c r="AC441" s="4">
        <v>6</v>
      </c>
      <c r="AD441" s="4">
        <v>23</v>
      </c>
      <c r="AE441" s="4">
        <v>12</v>
      </c>
      <c r="AF441" s="4">
        <v>21</v>
      </c>
      <c r="AG441" s="4">
        <v>31</v>
      </c>
      <c r="AH441" s="4">
        <v>26</v>
      </c>
      <c r="AI441" s="4">
        <v>0</v>
      </c>
      <c r="AJ441" s="4">
        <v>0</v>
      </c>
      <c r="AK441" s="4">
        <v>0</v>
      </c>
      <c r="AL441" s="4">
        <v>0</v>
      </c>
    </row>
    <row r="442" spans="5:38" ht="16.149999999999999" thickBot="1" x14ac:dyDescent="0.55000000000000004">
      <c r="E442" s="101"/>
      <c r="F442" s="99"/>
      <c r="G442" s="4">
        <v>4</v>
      </c>
      <c r="H442" s="4">
        <v>3</v>
      </c>
      <c r="I442" s="4">
        <v>2</v>
      </c>
      <c r="J442" s="4">
        <v>1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4">
        <v>0</v>
      </c>
    </row>
    <row r="443" spans="5:38" x14ac:dyDescent="0.5">
      <c r="E443" s="100">
        <v>6</v>
      </c>
      <c r="F443" s="98" t="s">
        <v>13</v>
      </c>
      <c r="G443" s="4">
        <v>25</v>
      </c>
      <c r="H443" s="4">
        <v>7</v>
      </c>
      <c r="I443" s="4">
        <v>19</v>
      </c>
      <c r="J443" s="4">
        <v>27</v>
      </c>
      <c r="K443" s="4">
        <v>14</v>
      </c>
      <c r="L443" s="4">
        <v>11</v>
      </c>
      <c r="M443" s="4">
        <v>10</v>
      </c>
      <c r="N443" s="4">
        <v>30</v>
      </c>
      <c r="O443" s="4">
        <v>15</v>
      </c>
      <c r="P443" s="4">
        <v>16</v>
      </c>
      <c r="Q443" s="4">
        <v>29</v>
      </c>
      <c r="R443" s="4">
        <v>8</v>
      </c>
      <c r="S443" s="4">
        <v>24</v>
      </c>
      <c r="T443" s="4">
        <v>9</v>
      </c>
      <c r="U443" s="4">
        <v>17</v>
      </c>
      <c r="V443" s="4">
        <v>28</v>
      </c>
      <c r="W443" s="4">
        <v>20</v>
      </c>
      <c r="X443" s="4">
        <v>22</v>
      </c>
      <c r="Y443" s="4">
        <v>13</v>
      </c>
      <c r="Z443" s="4">
        <v>18</v>
      </c>
      <c r="AA443" s="4">
        <v>32</v>
      </c>
      <c r="AB443" s="4">
        <v>6</v>
      </c>
      <c r="AC443" s="4">
        <v>23</v>
      </c>
      <c r="AD443" s="4">
        <v>12</v>
      </c>
      <c r="AE443" s="4">
        <v>21</v>
      </c>
      <c r="AF443" s="4">
        <v>31</v>
      </c>
      <c r="AG443" s="4">
        <v>26</v>
      </c>
      <c r="AH443" s="4">
        <v>0</v>
      </c>
      <c r="AI443" s="4">
        <v>0</v>
      </c>
      <c r="AJ443" s="4">
        <v>0</v>
      </c>
      <c r="AK443" s="4">
        <v>0</v>
      </c>
      <c r="AL443" s="4">
        <v>0</v>
      </c>
    </row>
    <row r="444" spans="5:38" ht="16.149999999999999" thickBot="1" x14ac:dyDescent="0.55000000000000004">
      <c r="E444" s="101"/>
      <c r="F444" s="99"/>
      <c r="G444" s="4">
        <v>5</v>
      </c>
      <c r="H444" s="4">
        <v>4</v>
      </c>
      <c r="I444" s="4">
        <v>3</v>
      </c>
      <c r="J444" s="4">
        <v>2</v>
      </c>
      <c r="K444" s="4">
        <v>1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4">
        <v>0</v>
      </c>
    </row>
    <row r="446" spans="5:38" ht="16.149999999999999" thickBot="1" x14ac:dyDescent="0.55000000000000004"/>
    <row r="447" spans="5:38" x14ac:dyDescent="0.5">
      <c r="E447" s="100">
        <v>0</v>
      </c>
      <c r="F447" s="102" t="s">
        <v>11</v>
      </c>
      <c r="G447" s="4">
        <v>1</v>
      </c>
      <c r="H447" s="4">
        <v>2</v>
      </c>
      <c r="I447" s="4">
        <v>4</v>
      </c>
      <c r="J447" s="4">
        <v>5</v>
      </c>
      <c r="K447" s="4">
        <v>3</v>
      </c>
      <c r="L447" s="4">
        <v>25</v>
      </c>
      <c r="M447" s="4">
        <v>7</v>
      </c>
      <c r="N447" s="4">
        <v>19</v>
      </c>
      <c r="O447" s="4">
        <v>27</v>
      </c>
      <c r="P447" s="4">
        <v>14</v>
      </c>
      <c r="Q447" s="4">
        <v>11</v>
      </c>
      <c r="R447" s="4">
        <v>10</v>
      </c>
      <c r="S447" s="4">
        <v>30</v>
      </c>
      <c r="T447" s="4">
        <v>15</v>
      </c>
      <c r="U447" s="4">
        <v>16</v>
      </c>
      <c r="V447" s="4">
        <v>29</v>
      </c>
      <c r="W447" s="4">
        <v>8</v>
      </c>
      <c r="X447" s="4">
        <v>24</v>
      </c>
      <c r="Y447" s="4">
        <v>9</v>
      </c>
      <c r="Z447" s="4">
        <v>17</v>
      </c>
      <c r="AA447" s="4">
        <v>28</v>
      </c>
      <c r="AB447" s="4">
        <v>20</v>
      </c>
      <c r="AC447" s="4">
        <v>22</v>
      </c>
      <c r="AD447" s="4">
        <v>13</v>
      </c>
      <c r="AE447" s="4">
        <v>18</v>
      </c>
      <c r="AF447" s="4">
        <v>32</v>
      </c>
      <c r="AG447" s="4">
        <v>6</v>
      </c>
      <c r="AH447" s="4">
        <v>23</v>
      </c>
      <c r="AI447" s="4">
        <v>12</v>
      </c>
      <c r="AJ447" s="4">
        <v>21</v>
      </c>
      <c r="AK447" s="4">
        <v>31</v>
      </c>
      <c r="AL447" s="4">
        <v>26</v>
      </c>
    </row>
    <row r="448" spans="5:38" ht="16.149999999999999" thickBot="1" x14ac:dyDescent="0.55000000000000004">
      <c r="E448" s="101"/>
      <c r="F448" s="103"/>
      <c r="G448" s="4"/>
      <c r="H448" s="4"/>
      <c r="I448" s="4"/>
      <c r="J448" s="4"/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4">
        <v>0</v>
      </c>
    </row>
    <row r="449" spans="5:38" x14ac:dyDescent="0.5">
      <c r="E449" s="100">
        <v>1</v>
      </c>
      <c r="F449" s="98" t="s">
        <v>13</v>
      </c>
      <c r="G449" s="4">
        <v>2</v>
      </c>
      <c r="H449" s="4">
        <v>4</v>
      </c>
      <c r="I449" s="4">
        <v>5</v>
      </c>
      <c r="J449" s="4">
        <v>3</v>
      </c>
      <c r="K449" s="4">
        <v>25</v>
      </c>
      <c r="L449" s="4">
        <v>7</v>
      </c>
      <c r="M449" s="4">
        <v>19</v>
      </c>
      <c r="N449" s="4">
        <v>27</v>
      </c>
      <c r="O449" s="4">
        <v>14</v>
      </c>
      <c r="P449" s="4">
        <v>11</v>
      </c>
      <c r="Q449" s="4">
        <v>10</v>
      </c>
      <c r="R449" s="4">
        <v>30</v>
      </c>
      <c r="S449" s="4">
        <v>15</v>
      </c>
      <c r="T449" s="4">
        <v>16</v>
      </c>
      <c r="U449" s="4">
        <v>29</v>
      </c>
      <c r="V449" s="4">
        <v>8</v>
      </c>
      <c r="W449" s="4">
        <v>24</v>
      </c>
      <c r="X449" s="4">
        <v>9</v>
      </c>
      <c r="Y449" s="4">
        <v>17</v>
      </c>
      <c r="Z449" s="4">
        <v>28</v>
      </c>
      <c r="AA449" s="4">
        <v>20</v>
      </c>
      <c r="AB449" s="4">
        <v>22</v>
      </c>
      <c r="AC449" s="4">
        <v>13</v>
      </c>
      <c r="AD449" s="4">
        <v>18</v>
      </c>
      <c r="AE449" s="4">
        <v>32</v>
      </c>
      <c r="AF449" s="4">
        <v>6</v>
      </c>
      <c r="AG449" s="4">
        <v>23</v>
      </c>
      <c r="AH449" s="4">
        <v>12</v>
      </c>
      <c r="AI449" s="4">
        <v>21</v>
      </c>
      <c r="AJ449" s="4">
        <v>31</v>
      </c>
      <c r="AK449" s="4">
        <v>26</v>
      </c>
      <c r="AL449" s="4">
        <v>0</v>
      </c>
    </row>
    <row r="450" spans="5:38" ht="16.149999999999999" thickBot="1" x14ac:dyDescent="0.55000000000000004">
      <c r="E450" s="101"/>
      <c r="F450" s="99"/>
      <c r="G450" s="4">
        <v>1</v>
      </c>
      <c r="H450" s="4">
        <v>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4">
        <v>0</v>
      </c>
    </row>
    <row r="451" spans="5:38" x14ac:dyDescent="0.5">
      <c r="E451" s="100">
        <v>2</v>
      </c>
      <c r="F451" s="98" t="s">
        <v>13</v>
      </c>
      <c r="G451" s="4">
        <v>4</v>
      </c>
      <c r="H451" s="4">
        <v>5</v>
      </c>
      <c r="I451" s="4">
        <v>3</v>
      </c>
      <c r="J451" s="4">
        <v>25</v>
      </c>
      <c r="K451" s="4">
        <v>7</v>
      </c>
      <c r="L451" s="4">
        <v>19</v>
      </c>
      <c r="M451" s="4">
        <v>27</v>
      </c>
      <c r="N451" s="4">
        <v>14</v>
      </c>
      <c r="O451" s="4">
        <v>11</v>
      </c>
      <c r="P451" s="4">
        <v>10</v>
      </c>
      <c r="Q451" s="4">
        <v>30</v>
      </c>
      <c r="R451" s="4">
        <v>15</v>
      </c>
      <c r="S451" s="4">
        <v>16</v>
      </c>
      <c r="T451" s="4">
        <v>29</v>
      </c>
      <c r="U451" s="4">
        <v>8</v>
      </c>
      <c r="V451" s="4">
        <v>24</v>
      </c>
      <c r="W451" s="4">
        <v>9</v>
      </c>
      <c r="X451" s="4">
        <v>17</v>
      </c>
      <c r="Y451" s="4">
        <v>28</v>
      </c>
      <c r="Z451" s="4">
        <v>20</v>
      </c>
      <c r="AA451" s="4">
        <v>22</v>
      </c>
      <c r="AB451" s="4">
        <v>13</v>
      </c>
      <c r="AC451" s="4">
        <v>18</v>
      </c>
      <c r="AD451" s="4">
        <v>32</v>
      </c>
      <c r="AE451" s="4">
        <v>6</v>
      </c>
      <c r="AF451" s="4">
        <v>23</v>
      </c>
      <c r="AG451" s="4">
        <v>12</v>
      </c>
      <c r="AH451" s="4">
        <v>21</v>
      </c>
      <c r="AI451" s="4">
        <v>31</v>
      </c>
      <c r="AJ451" s="4">
        <v>26</v>
      </c>
      <c r="AK451" s="4">
        <v>0</v>
      </c>
      <c r="AL451" s="4">
        <v>0</v>
      </c>
    </row>
    <row r="452" spans="5:38" ht="16.149999999999999" thickBot="1" x14ac:dyDescent="0.55000000000000004">
      <c r="E452" s="101"/>
      <c r="F452" s="99"/>
      <c r="G452" s="4">
        <v>2</v>
      </c>
      <c r="H452" s="4">
        <v>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4">
        <v>0</v>
      </c>
    </row>
    <row r="453" spans="5:38" x14ac:dyDescent="0.5">
      <c r="E453" s="100">
        <v>3</v>
      </c>
      <c r="F453" s="98" t="s">
        <v>13</v>
      </c>
      <c r="G453" s="4">
        <v>5</v>
      </c>
      <c r="H453" s="4">
        <v>3</v>
      </c>
      <c r="I453" s="4">
        <v>25</v>
      </c>
      <c r="J453" s="4">
        <v>7</v>
      </c>
      <c r="K453" s="4">
        <v>19</v>
      </c>
      <c r="L453" s="4">
        <v>27</v>
      </c>
      <c r="M453" s="4">
        <v>14</v>
      </c>
      <c r="N453" s="4">
        <v>11</v>
      </c>
      <c r="O453" s="4">
        <v>10</v>
      </c>
      <c r="P453" s="4">
        <v>30</v>
      </c>
      <c r="Q453" s="4">
        <v>15</v>
      </c>
      <c r="R453" s="4">
        <v>16</v>
      </c>
      <c r="S453" s="4">
        <v>29</v>
      </c>
      <c r="T453" s="4">
        <v>8</v>
      </c>
      <c r="U453" s="4">
        <v>24</v>
      </c>
      <c r="V453" s="4">
        <v>9</v>
      </c>
      <c r="W453" s="4">
        <v>17</v>
      </c>
      <c r="X453" s="4">
        <v>28</v>
      </c>
      <c r="Y453" s="4">
        <v>20</v>
      </c>
      <c r="Z453" s="4">
        <v>22</v>
      </c>
      <c r="AA453" s="4">
        <v>13</v>
      </c>
      <c r="AB453" s="4">
        <v>18</v>
      </c>
      <c r="AC453" s="4">
        <v>32</v>
      </c>
      <c r="AD453" s="4">
        <v>6</v>
      </c>
      <c r="AE453" s="4">
        <v>23</v>
      </c>
      <c r="AF453" s="4">
        <v>12</v>
      </c>
      <c r="AG453" s="4">
        <v>21</v>
      </c>
      <c r="AH453" s="4">
        <v>31</v>
      </c>
      <c r="AI453" s="4">
        <v>26</v>
      </c>
      <c r="AJ453" s="4">
        <v>0</v>
      </c>
      <c r="AK453" s="4">
        <v>0</v>
      </c>
      <c r="AL453" s="4">
        <v>0</v>
      </c>
    </row>
    <row r="454" spans="5:38" ht="16.149999999999999" thickBot="1" x14ac:dyDescent="0.55000000000000004">
      <c r="E454" s="101"/>
      <c r="F454" s="99"/>
      <c r="G454" s="4">
        <v>4</v>
      </c>
      <c r="H454" s="4">
        <v>2</v>
      </c>
      <c r="I454" s="4">
        <v>1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0</v>
      </c>
      <c r="X454" s="4">
        <v>0</v>
      </c>
      <c r="Y454" s="4">
        <v>0</v>
      </c>
      <c r="Z454" s="4">
        <v>0</v>
      </c>
      <c r="AA454" s="4">
        <v>0</v>
      </c>
      <c r="AB454" s="4">
        <v>0</v>
      </c>
      <c r="AC454" s="4">
        <v>0</v>
      </c>
      <c r="AD454" s="4">
        <v>0</v>
      </c>
      <c r="AE454" s="4">
        <v>0</v>
      </c>
      <c r="AF454" s="4">
        <v>0</v>
      </c>
      <c r="AG454" s="4">
        <v>0</v>
      </c>
      <c r="AH454" s="4">
        <v>0</v>
      </c>
      <c r="AI454" s="4">
        <v>0</v>
      </c>
      <c r="AJ454" s="4">
        <v>0</v>
      </c>
      <c r="AK454" s="4">
        <v>0</v>
      </c>
      <c r="AL454" s="4">
        <v>0</v>
      </c>
    </row>
    <row r="455" spans="5:38" x14ac:dyDescent="0.5">
      <c r="E455" s="100">
        <v>4</v>
      </c>
      <c r="F455" s="98" t="s">
        <v>13</v>
      </c>
      <c r="G455" s="4">
        <v>3</v>
      </c>
      <c r="H455" s="4">
        <v>25</v>
      </c>
      <c r="I455" s="4">
        <v>7</v>
      </c>
      <c r="J455" s="4">
        <v>19</v>
      </c>
      <c r="K455" s="4">
        <v>27</v>
      </c>
      <c r="L455" s="4">
        <v>14</v>
      </c>
      <c r="M455" s="4">
        <v>11</v>
      </c>
      <c r="N455" s="4">
        <v>10</v>
      </c>
      <c r="O455" s="4">
        <v>30</v>
      </c>
      <c r="P455" s="4">
        <v>15</v>
      </c>
      <c r="Q455" s="4">
        <v>16</v>
      </c>
      <c r="R455" s="4">
        <v>29</v>
      </c>
      <c r="S455" s="4">
        <v>8</v>
      </c>
      <c r="T455" s="4">
        <v>24</v>
      </c>
      <c r="U455" s="4">
        <v>9</v>
      </c>
      <c r="V455" s="4">
        <v>17</v>
      </c>
      <c r="W455" s="4">
        <v>28</v>
      </c>
      <c r="X455" s="4">
        <v>20</v>
      </c>
      <c r="Y455" s="4">
        <v>22</v>
      </c>
      <c r="Z455" s="4">
        <v>13</v>
      </c>
      <c r="AA455" s="4">
        <v>18</v>
      </c>
      <c r="AB455" s="4">
        <v>32</v>
      </c>
      <c r="AC455" s="4">
        <v>6</v>
      </c>
      <c r="AD455" s="4">
        <v>23</v>
      </c>
      <c r="AE455" s="4">
        <v>12</v>
      </c>
      <c r="AF455" s="4">
        <v>21</v>
      </c>
      <c r="AG455" s="4">
        <v>31</v>
      </c>
      <c r="AH455" s="4">
        <v>26</v>
      </c>
      <c r="AI455" s="4">
        <v>0</v>
      </c>
      <c r="AJ455" s="4">
        <v>0</v>
      </c>
      <c r="AK455" s="4">
        <v>0</v>
      </c>
      <c r="AL455" s="4">
        <v>0</v>
      </c>
    </row>
    <row r="456" spans="5:38" ht="16.149999999999999" thickBot="1" x14ac:dyDescent="0.55000000000000004">
      <c r="E456" s="101"/>
      <c r="F456" s="99"/>
      <c r="G456" s="4">
        <v>5</v>
      </c>
      <c r="H456" s="4">
        <v>4</v>
      </c>
      <c r="I456" s="4">
        <v>2</v>
      </c>
      <c r="J456" s="4">
        <v>1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0</v>
      </c>
      <c r="AL456" s="4">
        <v>0</v>
      </c>
    </row>
    <row r="457" spans="5:38" x14ac:dyDescent="0.5">
      <c r="E457" s="100">
        <v>5</v>
      </c>
      <c r="F457" s="98" t="s">
        <v>16</v>
      </c>
      <c r="G457" s="4">
        <v>3</v>
      </c>
      <c r="H457" s="4">
        <v>25</v>
      </c>
      <c r="I457" s="4">
        <v>7</v>
      </c>
      <c r="J457" s="4">
        <v>19</v>
      </c>
      <c r="K457" s="4">
        <v>27</v>
      </c>
      <c r="L457" s="4">
        <v>14</v>
      </c>
      <c r="M457" s="4">
        <v>11</v>
      </c>
      <c r="N457" s="4">
        <v>10</v>
      </c>
      <c r="O457" s="4">
        <v>30</v>
      </c>
      <c r="P457" s="4">
        <v>15</v>
      </c>
      <c r="Q457" s="4">
        <v>16</v>
      </c>
      <c r="R457" s="4">
        <v>29</v>
      </c>
      <c r="S457" s="4">
        <v>8</v>
      </c>
      <c r="T457" s="4">
        <v>24</v>
      </c>
      <c r="U457" s="4">
        <v>9</v>
      </c>
      <c r="V457" s="4">
        <v>17</v>
      </c>
      <c r="W457" s="4">
        <v>28</v>
      </c>
      <c r="X457" s="4">
        <v>20</v>
      </c>
      <c r="Y457" s="4">
        <v>22</v>
      </c>
      <c r="Z457" s="4">
        <v>13</v>
      </c>
      <c r="AA457" s="4">
        <v>18</v>
      </c>
      <c r="AB457" s="4">
        <v>32</v>
      </c>
      <c r="AC457" s="4">
        <v>6</v>
      </c>
      <c r="AD457" s="4">
        <v>23</v>
      </c>
      <c r="AE457" s="4">
        <v>12</v>
      </c>
      <c r="AF457" s="4">
        <v>21</v>
      </c>
      <c r="AG457" s="4">
        <v>31</v>
      </c>
      <c r="AH457" s="4">
        <v>26</v>
      </c>
      <c r="AI457" s="4">
        <v>0</v>
      </c>
      <c r="AJ457" s="4">
        <v>0</v>
      </c>
      <c r="AK457" s="4">
        <v>0</v>
      </c>
      <c r="AL457" s="4">
        <v>0</v>
      </c>
    </row>
    <row r="458" spans="5:38" ht="16.149999999999999" thickBot="1" x14ac:dyDescent="0.55000000000000004">
      <c r="E458" s="101"/>
      <c r="F458" s="99"/>
      <c r="G458" s="4">
        <v>1</v>
      </c>
      <c r="H458" s="4">
        <v>5</v>
      </c>
      <c r="I458" s="4">
        <v>4</v>
      </c>
      <c r="J458" s="4">
        <v>2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0</v>
      </c>
      <c r="AL458" s="4">
        <v>0</v>
      </c>
    </row>
    <row r="459" spans="5:38" x14ac:dyDescent="0.5">
      <c r="E459" s="100">
        <v>6</v>
      </c>
      <c r="F459" s="98" t="s">
        <v>16</v>
      </c>
      <c r="G459" s="4">
        <v>3</v>
      </c>
      <c r="H459" s="4">
        <v>25</v>
      </c>
      <c r="I459" s="4">
        <v>7</v>
      </c>
      <c r="J459" s="4">
        <v>19</v>
      </c>
      <c r="K459" s="4">
        <v>27</v>
      </c>
      <c r="L459" s="4">
        <v>14</v>
      </c>
      <c r="M459" s="4">
        <v>11</v>
      </c>
      <c r="N459" s="4">
        <v>10</v>
      </c>
      <c r="O459" s="4">
        <v>30</v>
      </c>
      <c r="P459" s="4">
        <v>15</v>
      </c>
      <c r="Q459" s="4">
        <v>16</v>
      </c>
      <c r="R459" s="4">
        <v>29</v>
      </c>
      <c r="S459" s="4">
        <v>8</v>
      </c>
      <c r="T459" s="4">
        <v>24</v>
      </c>
      <c r="U459" s="4">
        <v>9</v>
      </c>
      <c r="V459" s="4">
        <v>17</v>
      </c>
      <c r="W459" s="4">
        <v>28</v>
      </c>
      <c r="X459" s="4">
        <v>20</v>
      </c>
      <c r="Y459" s="4">
        <v>22</v>
      </c>
      <c r="Z459" s="4">
        <v>13</v>
      </c>
      <c r="AA459" s="4">
        <v>18</v>
      </c>
      <c r="AB459" s="4">
        <v>32</v>
      </c>
      <c r="AC459" s="4">
        <v>6</v>
      </c>
      <c r="AD459" s="4">
        <v>23</v>
      </c>
      <c r="AE459" s="4">
        <v>12</v>
      </c>
      <c r="AF459" s="4">
        <v>21</v>
      </c>
      <c r="AG459" s="4">
        <v>31</v>
      </c>
      <c r="AH459" s="4">
        <v>26</v>
      </c>
      <c r="AI459" s="4">
        <v>0</v>
      </c>
      <c r="AJ459" s="4">
        <v>0</v>
      </c>
      <c r="AK459" s="4">
        <v>0</v>
      </c>
      <c r="AL459" s="4">
        <v>0</v>
      </c>
    </row>
    <row r="460" spans="5:38" ht="16.149999999999999" thickBot="1" x14ac:dyDescent="0.55000000000000004">
      <c r="E460" s="101"/>
      <c r="F460" s="99"/>
      <c r="G460" s="4">
        <v>2</v>
      </c>
      <c r="H460" s="4">
        <v>1</v>
      </c>
      <c r="I460" s="4">
        <v>5</v>
      </c>
      <c r="J460" s="4">
        <v>4</v>
      </c>
      <c r="K460" s="4">
        <v>0</v>
      </c>
      <c r="L460" s="4">
        <v>0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0</v>
      </c>
      <c r="AL460" s="4">
        <v>0</v>
      </c>
    </row>
    <row r="461" spans="5:38" x14ac:dyDescent="0.5">
      <c r="E461" s="100">
        <v>7</v>
      </c>
      <c r="F461" s="98" t="s">
        <v>13</v>
      </c>
      <c r="G461" s="4">
        <v>25</v>
      </c>
      <c r="H461" s="4">
        <v>7</v>
      </c>
      <c r="I461" s="4">
        <v>19</v>
      </c>
      <c r="J461" s="4">
        <v>27</v>
      </c>
      <c r="K461" s="4">
        <v>14</v>
      </c>
      <c r="L461" s="4">
        <v>11</v>
      </c>
      <c r="M461" s="4">
        <v>10</v>
      </c>
      <c r="N461" s="4">
        <v>30</v>
      </c>
      <c r="O461" s="4">
        <v>15</v>
      </c>
      <c r="P461" s="4">
        <v>16</v>
      </c>
      <c r="Q461" s="4">
        <v>29</v>
      </c>
      <c r="R461" s="4">
        <v>8</v>
      </c>
      <c r="S461" s="4">
        <v>24</v>
      </c>
      <c r="T461" s="4">
        <v>9</v>
      </c>
      <c r="U461" s="4">
        <v>17</v>
      </c>
      <c r="V461" s="4">
        <v>28</v>
      </c>
      <c r="W461" s="4">
        <v>20</v>
      </c>
      <c r="X461" s="4">
        <v>22</v>
      </c>
      <c r="Y461" s="4">
        <v>13</v>
      </c>
      <c r="Z461" s="4">
        <v>18</v>
      </c>
      <c r="AA461" s="4">
        <v>32</v>
      </c>
      <c r="AB461" s="4">
        <v>6</v>
      </c>
      <c r="AC461" s="4">
        <v>23</v>
      </c>
      <c r="AD461" s="4">
        <v>12</v>
      </c>
      <c r="AE461" s="4">
        <v>21</v>
      </c>
      <c r="AF461" s="4">
        <v>31</v>
      </c>
      <c r="AG461" s="4">
        <v>26</v>
      </c>
      <c r="AH461" s="4">
        <v>0</v>
      </c>
      <c r="AI461" s="4">
        <v>0</v>
      </c>
      <c r="AJ461" s="4">
        <v>0</v>
      </c>
      <c r="AK461" s="4">
        <v>0</v>
      </c>
      <c r="AL461" s="4">
        <v>0</v>
      </c>
    </row>
    <row r="462" spans="5:38" ht="16.149999999999999" thickBot="1" x14ac:dyDescent="0.55000000000000004">
      <c r="E462" s="101"/>
      <c r="F462" s="99"/>
      <c r="G462" s="4">
        <v>3</v>
      </c>
      <c r="H462" s="4">
        <v>2</v>
      </c>
      <c r="I462" s="4">
        <v>1</v>
      </c>
      <c r="J462" s="4">
        <v>5</v>
      </c>
      <c r="K462" s="4">
        <v>4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4">
        <v>0</v>
      </c>
    </row>
    <row r="464" spans="5:38" ht="16.149999999999999" thickBot="1" x14ac:dyDescent="0.55000000000000004"/>
    <row r="465" spans="5:38" x14ac:dyDescent="0.5">
      <c r="E465" s="100">
        <v>0</v>
      </c>
      <c r="F465" s="102" t="s">
        <v>11</v>
      </c>
      <c r="G465" s="4">
        <v>1</v>
      </c>
      <c r="H465" s="4">
        <v>2</v>
      </c>
      <c r="I465" s="4">
        <v>5</v>
      </c>
      <c r="J465" s="4">
        <v>4</v>
      </c>
      <c r="K465" s="4">
        <v>3</v>
      </c>
      <c r="L465" s="4">
        <v>25</v>
      </c>
      <c r="M465" s="4">
        <v>7</v>
      </c>
      <c r="N465" s="4">
        <v>19</v>
      </c>
      <c r="O465" s="4">
        <v>27</v>
      </c>
      <c r="P465" s="4">
        <v>14</v>
      </c>
      <c r="Q465" s="4">
        <v>11</v>
      </c>
      <c r="R465" s="4">
        <v>10</v>
      </c>
      <c r="S465" s="4">
        <v>30</v>
      </c>
      <c r="T465" s="4">
        <v>15</v>
      </c>
      <c r="U465" s="4">
        <v>16</v>
      </c>
      <c r="V465" s="4">
        <v>29</v>
      </c>
      <c r="W465" s="4">
        <v>8</v>
      </c>
      <c r="X465" s="4">
        <v>24</v>
      </c>
      <c r="Y465" s="4">
        <v>9</v>
      </c>
      <c r="Z465" s="4">
        <v>17</v>
      </c>
      <c r="AA465" s="4">
        <v>28</v>
      </c>
      <c r="AB465" s="4">
        <v>20</v>
      </c>
      <c r="AC465" s="4">
        <v>22</v>
      </c>
      <c r="AD465" s="4">
        <v>13</v>
      </c>
      <c r="AE465" s="4">
        <v>18</v>
      </c>
      <c r="AF465" s="4">
        <v>32</v>
      </c>
      <c r="AG465" s="4">
        <v>6</v>
      </c>
      <c r="AH465" s="4">
        <v>23</v>
      </c>
      <c r="AI465" s="4">
        <v>12</v>
      </c>
      <c r="AJ465" s="4">
        <v>21</v>
      </c>
      <c r="AK465" s="4">
        <v>31</v>
      </c>
      <c r="AL465" s="4">
        <v>26</v>
      </c>
    </row>
    <row r="466" spans="5:38" ht="16.149999999999999" thickBot="1" x14ac:dyDescent="0.55000000000000004">
      <c r="E466" s="101"/>
      <c r="F466" s="103"/>
      <c r="G466" s="4"/>
      <c r="H466" s="4"/>
      <c r="I466" s="4"/>
      <c r="J466" s="4"/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4">
        <v>0</v>
      </c>
    </row>
    <row r="467" spans="5:38" x14ac:dyDescent="0.5">
      <c r="E467" s="100">
        <v>1</v>
      </c>
      <c r="F467" s="98" t="s">
        <v>13</v>
      </c>
      <c r="G467" s="4">
        <v>2</v>
      </c>
      <c r="H467" s="4">
        <v>5</v>
      </c>
      <c r="I467" s="4">
        <v>4</v>
      </c>
      <c r="J467" s="4">
        <v>3</v>
      </c>
      <c r="K467" s="4">
        <v>25</v>
      </c>
      <c r="L467" s="4">
        <v>7</v>
      </c>
      <c r="M467" s="4">
        <v>19</v>
      </c>
      <c r="N467" s="4">
        <v>27</v>
      </c>
      <c r="O467" s="4">
        <v>14</v>
      </c>
      <c r="P467" s="4">
        <v>11</v>
      </c>
      <c r="Q467" s="4">
        <v>10</v>
      </c>
      <c r="R467" s="4">
        <v>30</v>
      </c>
      <c r="S467" s="4">
        <v>15</v>
      </c>
      <c r="T467" s="4">
        <v>16</v>
      </c>
      <c r="U467" s="4">
        <v>29</v>
      </c>
      <c r="V467" s="4">
        <v>8</v>
      </c>
      <c r="W467" s="4">
        <v>24</v>
      </c>
      <c r="X467" s="4">
        <v>9</v>
      </c>
      <c r="Y467" s="4">
        <v>17</v>
      </c>
      <c r="Z467" s="4">
        <v>28</v>
      </c>
      <c r="AA467" s="4">
        <v>20</v>
      </c>
      <c r="AB467" s="4">
        <v>22</v>
      </c>
      <c r="AC467" s="4">
        <v>13</v>
      </c>
      <c r="AD467" s="4">
        <v>18</v>
      </c>
      <c r="AE467" s="4">
        <v>32</v>
      </c>
      <c r="AF467" s="4">
        <v>6</v>
      </c>
      <c r="AG467" s="4">
        <v>23</v>
      </c>
      <c r="AH467" s="4">
        <v>12</v>
      </c>
      <c r="AI467" s="4">
        <v>21</v>
      </c>
      <c r="AJ467" s="4">
        <v>31</v>
      </c>
      <c r="AK467" s="4">
        <v>26</v>
      </c>
      <c r="AL467" s="4">
        <v>0</v>
      </c>
    </row>
    <row r="468" spans="5:38" ht="16.149999999999999" thickBot="1" x14ac:dyDescent="0.55000000000000004">
      <c r="E468" s="101"/>
      <c r="F468" s="99"/>
      <c r="G468" s="4">
        <v>1</v>
      </c>
      <c r="H468" s="4">
        <v>0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4">
        <v>0</v>
      </c>
    </row>
    <row r="469" spans="5:38" x14ac:dyDescent="0.5">
      <c r="E469" s="100">
        <v>2</v>
      </c>
      <c r="F469" s="98" t="s">
        <v>13</v>
      </c>
      <c r="G469" s="4">
        <v>5</v>
      </c>
      <c r="H469" s="4">
        <v>4</v>
      </c>
      <c r="I469" s="4">
        <v>3</v>
      </c>
      <c r="J469" s="4">
        <v>25</v>
      </c>
      <c r="K469" s="4">
        <v>7</v>
      </c>
      <c r="L469" s="4">
        <v>19</v>
      </c>
      <c r="M469" s="4">
        <v>27</v>
      </c>
      <c r="N469" s="4">
        <v>14</v>
      </c>
      <c r="O469" s="4">
        <v>11</v>
      </c>
      <c r="P469" s="4">
        <v>10</v>
      </c>
      <c r="Q469" s="4">
        <v>30</v>
      </c>
      <c r="R469" s="4">
        <v>15</v>
      </c>
      <c r="S469" s="4">
        <v>16</v>
      </c>
      <c r="T469" s="4">
        <v>29</v>
      </c>
      <c r="U469" s="4">
        <v>8</v>
      </c>
      <c r="V469" s="4">
        <v>24</v>
      </c>
      <c r="W469" s="4">
        <v>9</v>
      </c>
      <c r="X469" s="4">
        <v>17</v>
      </c>
      <c r="Y469" s="4">
        <v>28</v>
      </c>
      <c r="Z469" s="4">
        <v>20</v>
      </c>
      <c r="AA469" s="4">
        <v>22</v>
      </c>
      <c r="AB469" s="4">
        <v>13</v>
      </c>
      <c r="AC469" s="4">
        <v>18</v>
      </c>
      <c r="AD469" s="4">
        <v>32</v>
      </c>
      <c r="AE469" s="4">
        <v>6</v>
      </c>
      <c r="AF469" s="4">
        <v>23</v>
      </c>
      <c r="AG469" s="4">
        <v>12</v>
      </c>
      <c r="AH469" s="4">
        <v>21</v>
      </c>
      <c r="AI469" s="4">
        <v>31</v>
      </c>
      <c r="AJ469" s="4">
        <v>26</v>
      </c>
      <c r="AK469" s="4">
        <v>0</v>
      </c>
      <c r="AL469" s="4">
        <v>0</v>
      </c>
    </row>
    <row r="470" spans="5:38" ht="16.149999999999999" thickBot="1" x14ac:dyDescent="0.55000000000000004">
      <c r="E470" s="101"/>
      <c r="F470" s="99"/>
      <c r="G470" s="4">
        <v>2</v>
      </c>
      <c r="H470" s="4">
        <v>1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4">
        <v>0</v>
      </c>
    </row>
    <row r="471" spans="5:38" x14ac:dyDescent="0.5">
      <c r="E471" s="100">
        <v>3</v>
      </c>
      <c r="F471" s="98" t="s">
        <v>13</v>
      </c>
      <c r="G471" s="4">
        <v>4</v>
      </c>
      <c r="H471" s="4">
        <v>3</v>
      </c>
      <c r="I471" s="4">
        <v>25</v>
      </c>
      <c r="J471" s="4">
        <v>7</v>
      </c>
      <c r="K471" s="4">
        <v>19</v>
      </c>
      <c r="L471" s="4">
        <v>27</v>
      </c>
      <c r="M471" s="4">
        <v>14</v>
      </c>
      <c r="N471" s="4">
        <v>11</v>
      </c>
      <c r="O471" s="4">
        <v>10</v>
      </c>
      <c r="P471" s="4">
        <v>30</v>
      </c>
      <c r="Q471" s="4">
        <v>15</v>
      </c>
      <c r="R471" s="4">
        <v>16</v>
      </c>
      <c r="S471" s="4">
        <v>29</v>
      </c>
      <c r="T471" s="4">
        <v>8</v>
      </c>
      <c r="U471" s="4">
        <v>24</v>
      </c>
      <c r="V471" s="4">
        <v>9</v>
      </c>
      <c r="W471" s="4">
        <v>17</v>
      </c>
      <c r="X471" s="4">
        <v>28</v>
      </c>
      <c r="Y471" s="4">
        <v>20</v>
      </c>
      <c r="Z471" s="4">
        <v>22</v>
      </c>
      <c r="AA471" s="4">
        <v>13</v>
      </c>
      <c r="AB471" s="4">
        <v>18</v>
      </c>
      <c r="AC471" s="4">
        <v>32</v>
      </c>
      <c r="AD471" s="4">
        <v>6</v>
      </c>
      <c r="AE471" s="4">
        <v>23</v>
      </c>
      <c r="AF471" s="4">
        <v>12</v>
      </c>
      <c r="AG471" s="4">
        <v>21</v>
      </c>
      <c r="AH471" s="4">
        <v>31</v>
      </c>
      <c r="AI471" s="4">
        <v>26</v>
      </c>
      <c r="AJ471" s="4">
        <v>0</v>
      </c>
      <c r="AK471" s="4">
        <v>0</v>
      </c>
      <c r="AL471" s="4">
        <v>0</v>
      </c>
    </row>
    <row r="472" spans="5:38" ht="16.149999999999999" thickBot="1" x14ac:dyDescent="0.55000000000000004">
      <c r="E472" s="101"/>
      <c r="F472" s="99"/>
      <c r="G472" s="4">
        <v>5</v>
      </c>
      <c r="H472" s="4">
        <v>2</v>
      </c>
      <c r="I472" s="4">
        <v>1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0</v>
      </c>
      <c r="AL472" s="4">
        <v>0</v>
      </c>
    </row>
    <row r="473" spans="5:38" x14ac:dyDescent="0.5">
      <c r="E473" s="100">
        <v>4</v>
      </c>
      <c r="F473" s="98" t="s">
        <v>14</v>
      </c>
      <c r="G473" s="4">
        <v>4</v>
      </c>
      <c r="H473" s="4">
        <v>3</v>
      </c>
      <c r="I473" s="4">
        <v>25</v>
      </c>
      <c r="J473" s="4">
        <v>7</v>
      </c>
      <c r="K473" s="4">
        <v>19</v>
      </c>
      <c r="L473" s="4">
        <v>27</v>
      </c>
      <c r="M473" s="4">
        <v>14</v>
      </c>
      <c r="N473" s="4">
        <v>11</v>
      </c>
      <c r="O473" s="4">
        <v>10</v>
      </c>
      <c r="P473" s="4">
        <v>30</v>
      </c>
      <c r="Q473" s="4">
        <v>15</v>
      </c>
      <c r="R473" s="4">
        <v>16</v>
      </c>
      <c r="S473" s="4">
        <v>29</v>
      </c>
      <c r="T473" s="4">
        <v>8</v>
      </c>
      <c r="U473" s="4">
        <v>24</v>
      </c>
      <c r="V473" s="4">
        <v>9</v>
      </c>
      <c r="W473" s="4">
        <v>17</v>
      </c>
      <c r="X473" s="4">
        <v>28</v>
      </c>
      <c r="Y473" s="4">
        <v>20</v>
      </c>
      <c r="Z473" s="4">
        <v>22</v>
      </c>
      <c r="AA473" s="4">
        <v>13</v>
      </c>
      <c r="AB473" s="4">
        <v>18</v>
      </c>
      <c r="AC473" s="4">
        <v>32</v>
      </c>
      <c r="AD473" s="4">
        <v>6</v>
      </c>
      <c r="AE473" s="4">
        <v>23</v>
      </c>
      <c r="AF473" s="4">
        <v>12</v>
      </c>
      <c r="AG473" s="4">
        <v>21</v>
      </c>
      <c r="AH473" s="4">
        <v>31</v>
      </c>
      <c r="AI473" s="4">
        <v>26</v>
      </c>
      <c r="AJ473" s="4">
        <v>0</v>
      </c>
      <c r="AK473" s="4">
        <v>0</v>
      </c>
      <c r="AL473" s="4">
        <v>0</v>
      </c>
    </row>
    <row r="474" spans="5:38" ht="16.149999999999999" thickBot="1" x14ac:dyDescent="0.55000000000000004">
      <c r="E474" s="101"/>
      <c r="F474" s="99"/>
      <c r="G474" s="4">
        <v>2</v>
      </c>
      <c r="H474" s="4">
        <v>1</v>
      </c>
      <c r="I474" s="4">
        <v>5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4">
        <v>0</v>
      </c>
    </row>
    <row r="475" spans="5:38" x14ac:dyDescent="0.5">
      <c r="E475" s="100">
        <v>5</v>
      </c>
      <c r="F475" s="98" t="s">
        <v>13</v>
      </c>
      <c r="G475" s="4">
        <v>3</v>
      </c>
      <c r="H475" s="4">
        <v>25</v>
      </c>
      <c r="I475" s="4">
        <v>7</v>
      </c>
      <c r="J475" s="4">
        <v>19</v>
      </c>
      <c r="K475" s="4">
        <v>27</v>
      </c>
      <c r="L475" s="4">
        <v>14</v>
      </c>
      <c r="M475" s="4">
        <v>11</v>
      </c>
      <c r="N475" s="4">
        <v>10</v>
      </c>
      <c r="O475" s="4">
        <v>30</v>
      </c>
      <c r="P475" s="4">
        <v>15</v>
      </c>
      <c r="Q475" s="4">
        <v>16</v>
      </c>
      <c r="R475" s="4">
        <v>29</v>
      </c>
      <c r="S475" s="4">
        <v>8</v>
      </c>
      <c r="T475" s="4">
        <v>24</v>
      </c>
      <c r="U475" s="4">
        <v>9</v>
      </c>
      <c r="V475" s="4">
        <v>17</v>
      </c>
      <c r="W475" s="4">
        <v>28</v>
      </c>
      <c r="X475" s="4">
        <v>20</v>
      </c>
      <c r="Y475" s="4">
        <v>22</v>
      </c>
      <c r="Z475" s="4">
        <v>13</v>
      </c>
      <c r="AA475" s="4">
        <v>18</v>
      </c>
      <c r="AB475" s="4">
        <v>32</v>
      </c>
      <c r="AC475" s="4">
        <v>6</v>
      </c>
      <c r="AD475" s="4">
        <v>23</v>
      </c>
      <c r="AE475" s="4">
        <v>12</v>
      </c>
      <c r="AF475" s="4">
        <v>21</v>
      </c>
      <c r="AG475" s="4">
        <v>31</v>
      </c>
      <c r="AH475" s="4">
        <v>26</v>
      </c>
      <c r="AI475" s="4">
        <v>0</v>
      </c>
      <c r="AJ475" s="4">
        <v>0</v>
      </c>
      <c r="AK475" s="4">
        <v>0</v>
      </c>
      <c r="AL475" s="4">
        <v>0</v>
      </c>
    </row>
    <row r="476" spans="5:38" ht="16.149999999999999" thickBot="1" x14ac:dyDescent="0.55000000000000004">
      <c r="E476" s="101"/>
      <c r="F476" s="99"/>
      <c r="G476" s="4">
        <v>4</v>
      </c>
      <c r="H476" s="4">
        <v>2</v>
      </c>
      <c r="I476" s="4">
        <v>1</v>
      </c>
      <c r="J476" s="4">
        <v>5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4">
        <v>0</v>
      </c>
    </row>
    <row r="477" spans="5:38" x14ac:dyDescent="0.5">
      <c r="E477" s="100">
        <v>6</v>
      </c>
      <c r="F477" s="98" t="s">
        <v>14</v>
      </c>
      <c r="G477" s="4">
        <v>3</v>
      </c>
      <c r="H477" s="4">
        <v>25</v>
      </c>
      <c r="I477" s="4">
        <v>7</v>
      </c>
      <c r="J477" s="4">
        <v>19</v>
      </c>
      <c r="K477" s="4">
        <v>27</v>
      </c>
      <c r="L477" s="4">
        <v>14</v>
      </c>
      <c r="M477" s="4">
        <v>11</v>
      </c>
      <c r="N477" s="4">
        <v>10</v>
      </c>
      <c r="O477" s="4">
        <v>30</v>
      </c>
      <c r="P477" s="4">
        <v>15</v>
      </c>
      <c r="Q477" s="4">
        <v>16</v>
      </c>
      <c r="R477" s="4">
        <v>29</v>
      </c>
      <c r="S477" s="4">
        <v>8</v>
      </c>
      <c r="T477" s="4">
        <v>24</v>
      </c>
      <c r="U477" s="4">
        <v>9</v>
      </c>
      <c r="V477" s="4">
        <v>17</v>
      </c>
      <c r="W477" s="4">
        <v>28</v>
      </c>
      <c r="X477" s="4">
        <v>20</v>
      </c>
      <c r="Y477" s="4">
        <v>22</v>
      </c>
      <c r="Z477" s="4">
        <v>13</v>
      </c>
      <c r="AA477" s="4">
        <v>18</v>
      </c>
      <c r="AB477" s="4">
        <v>32</v>
      </c>
      <c r="AC477" s="4">
        <v>6</v>
      </c>
      <c r="AD477" s="4">
        <v>23</v>
      </c>
      <c r="AE477" s="4">
        <v>12</v>
      </c>
      <c r="AF477" s="4">
        <v>21</v>
      </c>
      <c r="AG477" s="4">
        <v>31</v>
      </c>
      <c r="AH477" s="4">
        <v>26</v>
      </c>
      <c r="AI477" s="4">
        <v>0</v>
      </c>
      <c r="AJ477" s="4">
        <v>0</v>
      </c>
      <c r="AK477" s="4">
        <v>0</v>
      </c>
      <c r="AL477" s="4">
        <v>0</v>
      </c>
    </row>
    <row r="478" spans="5:38" ht="16.149999999999999" thickBot="1" x14ac:dyDescent="0.55000000000000004">
      <c r="E478" s="101"/>
      <c r="F478" s="99"/>
      <c r="G478" s="4">
        <v>2</v>
      </c>
      <c r="H478" s="4">
        <v>1</v>
      </c>
      <c r="I478" s="4">
        <v>5</v>
      </c>
      <c r="J478" s="4">
        <v>4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4">
        <v>0</v>
      </c>
    </row>
    <row r="479" spans="5:38" x14ac:dyDescent="0.5">
      <c r="E479" s="100">
        <v>7</v>
      </c>
      <c r="F479" s="98" t="s">
        <v>13</v>
      </c>
      <c r="G479" s="4">
        <v>25</v>
      </c>
      <c r="H479" s="4">
        <v>7</v>
      </c>
      <c r="I479" s="4">
        <v>19</v>
      </c>
      <c r="J479" s="4">
        <v>27</v>
      </c>
      <c r="K479" s="4">
        <v>14</v>
      </c>
      <c r="L479" s="4">
        <v>11</v>
      </c>
      <c r="M479" s="4">
        <v>10</v>
      </c>
      <c r="N479" s="4">
        <v>30</v>
      </c>
      <c r="O479" s="4">
        <v>15</v>
      </c>
      <c r="P479" s="4">
        <v>16</v>
      </c>
      <c r="Q479" s="4">
        <v>29</v>
      </c>
      <c r="R479" s="4">
        <v>8</v>
      </c>
      <c r="S479" s="4">
        <v>24</v>
      </c>
      <c r="T479" s="4">
        <v>9</v>
      </c>
      <c r="U479" s="4">
        <v>17</v>
      </c>
      <c r="V479" s="4">
        <v>28</v>
      </c>
      <c r="W479" s="4">
        <v>20</v>
      </c>
      <c r="X479" s="4">
        <v>22</v>
      </c>
      <c r="Y479" s="4">
        <v>13</v>
      </c>
      <c r="Z479" s="4">
        <v>18</v>
      </c>
      <c r="AA479" s="4">
        <v>32</v>
      </c>
      <c r="AB479" s="4">
        <v>6</v>
      </c>
      <c r="AC479" s="4">
        <v>23</v>
      </c>
      <c r="AD479" s="4">
        <v>12</v>
      </c>
      <c r="AE479" s="4">
        <v>21</v>
      </c>
      <c r="AF479" s="4">
        <v>31</v>
      </c>
      <c r="AG479" s="4">
        <v>26</v>
      </c>
      <c r="AH479" s="4">
        <v>0</v>
      </c>
      <c r="AI479" s="4">
        <v>0</v>
      </c>
      <c r="AJ479" s="4">
        <v>0</v>
      </c>
      <c r="AK479" s="4">
        <v>0</v>
      </c>
      <c r="AL479" s="4">
        <v>0</v>
      </c>
    </row>
    <row r="480" spans="5:38" ht="16.149999999999999" thickBot="1" x14ac:dyDescent="0.55000000000000004">
      <c r="E480" s="101"/>
      <c r="F480" s="99"/>
      <c r="G480" s="4">
        <v>3</v>
      </c>
      <c r="H480" s="4">
        <v>2</v>
      </c>
      <c r="I480" s="4">
        <v>1</v>
      </c>
      <c r="J480" s="4">
        <v>5</v>
      </c>
      <c r="K480" s="4">
        <v>4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4">
        <v>0</v>
      </c>
    </row>
    <row r="482" spans="5:38" ht="16.149999999999999" thickBot="1" x14ac:dyDescent="0.55000000000000004"/>
    <row r="483" spans="5:38" x14ac:dyDescent="0.5">
      <c r="E483" s="100">
        <v>0</v>
      </c>
      <c r="F483" s="102" t="s">
        <v>11</v>
      </c>
      <c r="G483" s="4">
        <v>1</v>
      </c>
      <c r="H483" s="4">
        <v>3</v>
      </c>
      <c r="I483" s="4">
        <v>2</v>
      </c>
      <c r="J483" s="4">
        <v>4</v>
      </c>
      <c r="K483" s="4">
        <v>5</v>
      </c>
      <c r="L483" s="4">
        <v>25</v>
      </c>
      <c r="M483" s="4">
        <v>7</v>
      </c>
      <c r="N483" s="4">
        <v>19</v>
      </c>
      <c r="O483" s="4">
        <v>27</v>
      </c>
      <c r="P483" s="4">
        <v>14</v>
      </c>
      <c r="Q483" s="4">
        <v>11</v>
      </c>
      <c r="R483" s="4">
        <v>10</v>
      </c>
      <c r="S483" s="4">
        <v>30</v>
      </c>
      <c r="T483" s="4">
        <v>15</v>
      </c>
      <c r="U483" s="4">
        <v>16</v>
      </c>
      <c r="V483" s="4">
        <v>29</v>
      </c>
      <c r="W483" s="4">
        <v>8</v>
      </c>
      <c r="X483" s="4">
        <v>24</v>
      </c>
      <c r="Y483" s="4">
        <v>9</v>
      </c>
      <c r="Z483" s="4">
        <v>17</v>
      </c>
      <c r="AA483" s="4">
        <v>28</v>
      </c>
      <c r="AB483" s="4">
        <v>20</v>
      </c>
      <c r="AC483" s="4">
        <v>22</v>
      </c>
      <c r="AD483" s="4">
        <v>13</v>
      </c>
      <c r="AE483" s="4">
        <v>18</v>
      </c>
      <c r="AF483" s="4">
        <v>32</v>
      </c>
      <c r="AG483" s="4">
        <v>6</v>
      </c>
      <c r="AH483" s="4">
        <v>23</v>
      </c>
      <c r="AI483" s="4">
        <v>12</v>
      </c>
      <c r="AJ483" s="4">
        <v>21</v>
      </c>
      <c r="AK483" s="4">
        <v>31</v>
      </c>
      <c r="AL483" s="4">
        <v>26</v>
      </c>
    </row>
    <row r="484" spans="5:38" ht="16.149999999999999" thickBot="1" x14ac:dyDescent="0.55000000000000004">
      <c r="E484" s="101"/>
      <c r="F484" s="103"/>
      <c r="G484" s="4"/>
      <c r="H484" s="4"/>
      <c r="I484" s="4"/>
      <c r="J484" s="4"/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4">
        <v>0</v>
      </c>
    </row>
    <row r="485" spans="5:38" x14ac:dyDescent="0.5">
      <c r="E485" s="100">
        <v>1</v>
      </c>
      <c r="F485" s="98" t="s">
        <v>13</v>
      </c>
      <c r="G485" s="4">
        <v>3</v>
      </c>
      <c r="H485" s="4">
        <v>2</v>
      </c>
      <c r="I485" s="4">
        <v>4</v>
      </c>
      <c r="J485" s="4">
        <v>5</v>
      </c>
      <c r="K485" s="4">
        <v>25</v>
      </c>
      <c r="L485" s="4">
        <v>7</v>
      </c>
      <c r="M485" s="4">
        <v>19</v>
      </c>
      <c r="N485" s="4">
        <v>27</v>
      </c>
      <c r="O485" s="4">
        <v>14</v>
      </c>
      <c r="P485" s="4">
        <v>11</v>
      </c>
      <c r="Q485" s="4">
        <v>10</v>
      </c>
      <c r="R485" s="4">
        <v>30</v>
      </c>
      <c r="S485" s="4">
        <v>15</v>
      </c>
      <c r="T485" s="4">
        <v>16</v>
      </c>
      <c r="U485" s="4">
        <v>29</v>
      </c>
      <c r="V485" s="4">
        <v>8</v>
      </c>
      <c r="W485" s="4">
        <v>24</v>
      </c>
      <c r="X485" s="4">
        <v>9</v>
      </c>
      <c r="Y485" s="4">
        <v>17</v>
      </c>
      <c r="Z485" s="4">
        <v>28</v>
      </c>
      <c r="AA485" s="4">
        <v>20</v>
      </c>
      <c r="AB485" s="4">
        <v>22</v>
      </c>
      <c r="AC485" s="4">
        <v>13</v>
      </c>
      <c r="AD485" s="4">
        <v>18</v>
      </c>
      <c r="AE485" s="4">
        <v>32</v>
      </c>
      <c r="AF485" s="4">
        <v>6</v>
      </c>
      <c r="AG485" s="4">
        <v>23</v>
      </c>
      <c r="AH485" s="4">
        <v>12</v>
      </c>
      <c r="AI485" s="4">
        <v>21</v>
      </c>
      <c r="AJ485" s="4">
        <v>31</v>
      </c>
      <c r="AK485" s="4">
        <v>26</v>
      </c>
      <c r="AL485" s="4">
        <v>0</v>
      </c>
    </row>
    <row r="486" spans="5:38" ht="16.149999999999999" thickBot="1" x14ac:dyDescent="0.55000000000000004">
      <c r="E486" s="101"/>
      <c r="F486" s="99"/>
      <c r="G486" s="4">
        <v>1</v>
      </c>
      <c r="H486" s="4">
        <v>0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4">
        <v>0</v>
      </c>
      <c r="P486" s="4">
        <v>0</v>
      </c>
      <c r="Q486" s="4">
        <v>0</v>
      </c>
      <c r="R486" s="4">
        <v>0</v>
      </c>
      <c r="S486" s="4">
        <v>0</v>
      </c>
      <c r="T486" s="4">
        <v>0</v>
      </c>
      <c r="U486" s="4">
        <v>0</v>
      </c>
      <c r="V486" s="4">
        <v>0</v>
      </c>
      <c r="W486" s="4">
        <v>0</v>
      </c>
      <c r="X486" s="4">
        <v>0</v>
      </c>
      <c r="Y486" s="4">
        <v>0</v>
      </c>
      <c r="Z486" s="4">
        <v>0</v>
      </c>
      <c r="AA486" s="4">
        <v>0</v>
      </c>
      <c r="AB486" s="4">
        <v>0</v>
      </c>
      <c r="AC486" s="4">
        <v>0</v>
      </c>
      <c r="AD486" s="4">
        <v>0</v>
      </c>
      <c r="AE486" s="4">
        <v>0</v>
      </c>
      <c r="AF486" s="4">
        <v>0</v>
      </c>
      <c r="AG486" s="4">
        <v>0</v>
      </c>
      <c r="AH486" s="4">
        <v>0</v>
      </c>
      <c r="AI486" s="4">
        <v>0</v>
      </c>
      <c r="AJ486" s="4">
        <v>0</v>
      </c>
      <c r="AK486" s="4">
        <v>0</v>
      </c>
      <c r="AL486" s="4">
        <v>0</v>
      </c>
    </row>
    <row r="487" spans="5:38" x14ac:dyDescent="0.5">
      <c r="E487" s="100">
        <v>2</v>
      </c>
      <c r="F487" s="98" t="s">
        <v>18</v>
      </c>
      <c r="G487" s="4">
        <v>2</v>
      </c>
      <c r="H487" s="4">
        <v>3</v>
      </c>
      <c r="I487" s="4">
        <v>4</v>
      </c>
      <c r="J487" s="4">
        <v>5</v>
      </c>
      <c r="K487" s="4">
        <v>25</v>
      </c>
      <c r="L487" s="4">
        <v>7</v>
      </c>
      <c r="M487" s="4">
        <v>19</v>
      </c>
      <c r="N487" s="4">
        <v>27</v>
      </c>
      <c r="O487" s="4">
        <v>14</v>
      </c>
      <c r="P487" s="4">
        <v>11</v>
      </c>
      <c r="Q487" s="4">
        <v>10</v>
      </c>
      <c r="R487" s="4">
        <v>30</v>
      </c>
      <c r="S487" s="4">
        <v>15</v>
      </c>
      <c r="T487" s="4">
        <v>16</v>
      </c>
      <c r="U487" s="4">
        <v>29</v>
      </c>
      <c r="V487" s="4">
        <v>8</v>
      </c>
      <c r="W487" s="4">
        <v>24</v>
      </c>
      <c r="X487" s="4">
        <v>9</v>
      </c>
      <c r="Y487" s="4">
        <v>17</v>
      </c>
      <c r="Z487" s="4">
        <v>28</v>
      </c>
      <c r="AA487" s="4">
        <v>20</v>
      </c>
      <c r="AB487" s="4">
        <v>22</v>
      </c>
      <c r="AC487" s="4">
        <v>13</v>
      </c>
      <c r="AD487" s="4">
        <v>18</v>
      </c>
      <c r="AE487" s="4">
        <v>32</v>
      </c>
      <c r="AF487" s="4">
        <v>6</v>
      </c>
      <c r="AG487" s="4">
        <v>23</v>
      </c>
      <c r="AH487" s="4">
        <v>12</v>
      </c>
      <c r="AI487" s="4">
        <v>21</v>
      </c>
      <c r="AJ487" s="4">
        <v>31</v>
      </c>
      <c r="AK487" s="4">
        <v>26</v>
      </c>
      <c r="AL487" s="4">
        <v>0</v>
      </c>
    </row>
    <row r="488" spans="5:38" ht="16.149999999999999" thickBot="1" x14ac:dyDescent="0.55000000000000004">
      <c r="E488" s="101"/>
      <c r="F488" s="99"/>
      <c r="G488" s="4">
        <v>1</v>
      </c>
      <c r="H488" s="4">
        <v>0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4">
        <v>0</v>
      </c>
      <c r="P488" s="4">
        <v>0</v>
      </c>
      <c r="Q488" s="4">
        <v>0</v>
      </c>
      <c r="R488" s="4">
        <v>0</v>
      </c>
      <c r="S488" s="4">
        <v>0</v>
      </c>
      <c r="T488" s="4">
        <v>0</v>
      </c>
      <c r="U488" s="4">
        <v>0</v>
      </c>
      <c r="V488" s="4">
        <v>0</v>
      </c>
      <c r="W488" s="4">
        <v>0</v>
      </c>
      <c r="X488" s="4">
        <v>0</v>
      </c>
      <c r="Y488" s="4">
        <v>0</v>
      </c>
      <c r="Z488" s="4">
        <v>0</v>
      </c>
      <c r="AA488" s="4">
        <v>0</v>
      </c>
      <c r="AB488" s="4">
        <v>0</v>
      </c>
      <c r="AC488" s="4">
        <v>0</v>
      </c>
      <c r="AD488" s="4">
        <v>0</v>
      </c>
      <c r="AE488" s="4">
        <v>0</v>
      </c>
      <c r="AF488" s="4">
        <v>0</v>
      </c>
      <c r="AG488" s="4">
        <v>0</v>
      </c>
      <c r="AH488" s="4">
        <v>0</v>
      </c>
      <c r="AI488" s="4">
        <v>0</v>
      </c>
      <c r="AJ488" s="4">
        <v>0</v>
      </c>
      <c r="AK488" s="4">
        <v>0</v>
      </c>
      <c r="AL488" s="4">
        <v>0</v>
      </c>
    </row>
    <row r="489" spans="5:38" x14ac:dyDescent="0.5">
      <c r="E489" s="100">
        <v>3</v>
      </c>
      <c r="F489" s="98" t="s">
        <v>13</v>
      </c>
      <c r="G489" s="4">
        <v>3</v>
      </c>
      <c r="H489" s="4">
        <v>4</v>
      </c>
      <c r="I489" s="4">
        <v>5</v>
      </c>
      <c r="J489" s="4">
        <v>25</v>
      </c>
      <c r="K489" s="4">
        <v>7</v>
      </c>
      <c r="L489" s="4">
        <v>19</v>
      </c>
      <c r="M489" s="4">
        <v>27</v>
      </c>
      <c r="N489" s="4">
        <v>14</v>
      </c>
      <c r="O489" s="4">
        <v>11</v>
      </c>
      <c r="P489" s="4">
        <v>10</v>
      </c>
      <c r="Q489" s="4">
        <v>30</v>
      </c>
      <c r="R489" s="4">
        <v>15</v>
      </c>
      <c r="S489" s="4">
        <v>16</v>
      </c>
      <c r="T489" s="4">
        <v>29</v>
      </c>
      <c r="U489" s="4">
        <v>8</v>
      </c>
      <c r="V489" s="4">
        <v>24</v>
      </c>
      <c r="W489" s="4">
        <v>9</v>
      </c>
      <c r="X489" s="4">
        <v>17</v>
      </c>
      <c r="Y489" s="4">
        <v>28</v>
      </c>
      <c r="Z489" s="4">
        <v>20</v>
      </c>
      <c r="AA489" s="4">
        <v>22</v>
      </c>
      <c r="AB489" s="4">
        <v>13</v>
      </c>
      <c r="AC489" s="4">
        <v>18</v>
      </c>
      <c r="AD489" s="4">
        <v>32</v>
      </c>
      <c r="AE489" s="4">
        <v>6</v>
      </c>
      <c r="AF489" s="4">
        <v>23</v>
      </c>
      <c r="AG489" s="4">
        <v>12</v>
      </c>
      <c r="AH489" s="4">
        <v>21</v>
      </c>
      <c r="AI489" s="4">
        <v>31</v>
      </c>
      <c r="AJ489" s="4">
        <v>26</v>
      </c>
      <c r="AK489" s="4">
        <v>0</v>
      </c>
      <c r="AL489" s="4">
        <v>0</v>
      </c>
    </row>
    <row r="490" spans="5:38" ht="16.149999999999999" thickBot="1" x14ac:dyDescent="0.55000000000000004">
      <c r="E490" s="101"/>
      <c r="F490" s="99"/>
      <c r="G490" s="4">
        <v>2</v>
      </c>
      <c r="H490" s="4">
        <v>1</v>
      </c>
      <c r="I490" s="4">
        <v>0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4">
        <v>0</v>
      </c>
      <c r="P490" s="4">
        <v>0</v>
      </c>
      <c r="Q490" s="4">
        <v>0</v>
      </c>
      <c r="R490" s="4">
        <v>0</v>
      </c>
      <c r="S490" s="4">
        <v>0</v>
      </c>
      <c r="T490" s="4">
        <v>0</v>
      </c>
      <c r="U490" s="4">
        <v>0</v>
      </c>
      <c r="V490" s="4">
        <v>0</v>
      </c>
      <c r="W490" s="4">
        <v>0</v>
      </c>
      <c r="X490" s="4">
        <v>0</v>
      </c>
      <c r="Y490" s="4">
        <v>0</v>
      </c>
      <c r="Z490" s="4">
        <v>0</v>
      </c>
      <c r="AA490" s="4">
        <v>0</v>
      </c>
      <c r="AB490" s="4">
        <v>0</v>
      </c>
      <c r="AC490" s="4">
        <v>0</v>
      </c>
      <c r="AD490" s="4">
        <v>0</v>
      </c>
      <c r="AE490" s="4">
        <v>0</v>
      </c>
      <c r="AF490" s="4">
        <v>0</v>
      </c>
      <c r="AG490" s="4">
        <v>0</v>
      </c>
      <c r="AH490" s="4">
        <v>0</v>
      </c>
      <c r="AI490" s="4">
        <v>0</v>
      </c>
      <c r="AJ490" s="4">
        <v>0</v>
      </c>
      <c r="AK490" s="4">
        <v>0</v>
      </c>
      <c r="AL490" s="4">
        <v>0</v>
      </c>
    </row>
    <row r="491" spans="5:38" x14ac:dyDescent="0.5">
      <c r="E491" s="100">
        <v>4</v>
      </c>
      <c r="F491" s="98" t="s">
        <v>13</v>
      </c>
      <c r="G491" s="4">
        <v>4</v>
      </c>
      <c r="H491" s="4">
        <v>5</v>
      </c>
      <c r="I491" s="4">
        <v>25</v>
      </c>
      <c r="J491" s="4">
        <v>7</v>
      </c>
      <c r="K491" s="4">
        <v>19</v>
      </c>
      <c r="L491" s="4">
        <v>27</v>
      </c>
      <c r="M491" s="4">
        <v>14</v>
      </c>
      <c r="N491" s="4">
        <v>11</v>
      </c>
      <c r="O491" s="4">
        <v>10</v>
      </c>
      <c r="P491" s="4">
        <v>30</v>
      </c>
      <c r="Q491" s="4">
        <v>15</v>
      </c>
      <c r="R491" s="4">
        <v>16</v>
      </c>
      <c r="S491" s="4">
        <v>29</v>
      </c>
      <c r="T491" s="4">
        <v>8</v>
      </c>
      <c r="U491" s="4">
        <v>24</v>
      </c>
      <c r="V491" s="4">
        <v>9</v>
      </c>
      <c r="W491" s="4">
        <v>17</v>
      </c>
      <c r="X491" s="4">
        <v>28</v>
      </c>
      <c r="Y491" s="4">
        <v>20</v>
      </c>
      <c r="Z491" s="4">
        <v>22</v>
      </c>
      <c r="AA491" s="4">
        <v>13</v>
      </c>
      <c r="AB491" s="4">
        <v>18</v>
      </c>
      <c r="AC491" s="4">
        <v>32</v>
      </c>
      <c r="AD491" s="4">
        <v>6</v>
      </c>
      <c r="AE491" s="4">
        <v>23</v>
      </c>
      <c r="AF491" s="4">
        <v>12</v>
      </c>
      <c r="AG491" s="4">
        <v>21</v>
      </c>
      <c r="AH491" s="4">
        <v>31</v>
      </c>
      <c r="AI491" s="4">
        <v>26</v>
      </c>
      <c r="AJ491" s="4">
        <v>0</v>
      </c>
      <c r="AK491" s="4">
        <v>0</v>
      </c>
      <c r="AL491" s="4">
        <v>0</v>
      </c>
    </row>
    <row r="492" spans="5:38" ht="16.149999999999999" thickBot="1" x14ac:dyDescent="0.55000000000000004">
      <c r="E492" s="101"/>
      <c r="F492" s="99"/>
      <c r="G492" s="4">
        <v>3</v>
      </c>
      <c r="H492" s="4">
        <v>2</v>
      </c>
      <c r="I492" s="4">
        <v>1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4">
        <v>0</v>
      </c>
      <c r="P492" s="4">
        <v>0</v>
      </c>
      <c r="Q492" s="4">
        <v>0</v>
      </c>
      <c r="R492" s="4">
        <v>0</v>
      </c>
      <c r="S492" s="4">
        <v>0</v>
      </c>
      <c r="T492" s="4">
        <v>0</v>
      </c>
      <c r="U492" s="4">
        <v>0</v>
      </c>
      <c r="V492" s="4">
        <v>0</v>
      </c>
      <c r="W492" s="4">
        <v>0</v>
      </c>
      <c r="X492" s="4">
        <v>0</v>
      </c>
      <c r="Y492" s="4">
        <v>0</v>
      </c>
      <c r="Z492" s="4">
        <v>0</v>
      </c>
      <c r="AA492" s="4">
        <v>0</v>
      </c>
      <c r="AB492" s="4">
        <v>0</v>
      </c>
      <c r="AC492" s="4">
        <v>0</v>
      </c>
      <c r="AD492" s="4">
        <v>0</v>
      </c>
      <c r="AE492" s="4">
        <v>0</v>
      </c>
      <c r="AF492" s="4">
        <v>0</v>
      </c>
      <c r="AG492" s="4">
        <v>0</v>
      </c>
      <c r="AH492" s="4">
        <v>0</v>
      </c>
      <c r="AI492" s="4">
        <v>0</v>
      </c>
      <c r="AJ492" s="4">
        <v>0</v>
      </c>
      <c r="AK492" s="4">
        <v>0</v>
      </c>
      <c r="AL492" s="4">
        <v>0</v>
      </c>
    </row>
    <row r="493" spans="5:38" x14ac:dyDescent="0.5">
      <c r="E493" s="100">
        <v>5</v>
      </c>
      <c r="F493" s="98" t="s">
        <v>13</v>
      </c>
      <c r="G493" s="4">
        <v>5</v>
      </c>
      <c r="H493" s="4">
        <v>25</v>
      </c>
      <c r="I493" s="4">
        <v>7</v>
      </c>
      <c r="J493" s="4">
        <v>19</v>
      </c>
      <c r="K493" s="4">
        <v>27</v>
      </c>
      <c r="L493" s="4">
        <v>14</v>
      </c>
      <c r="M493" s="4">
        <v>11</v>
      </c>
      <c r="N493" s="4">
        <v>10</v>
      </c>
      <c r="O493" s="4">
        <v>30</v>
      </c>
      <c r="P493" s="4">
        <v>15</v>
      </c>
      <c r="Q493" s="4">
        <v>16</v>
      </c>
      <c r="R493" s="4">
        <v>29</v>
      </c>
      <c r="S493" s="4">
        <v>8</v>
      </c>
      <c r="T493" s="4">
        <v>24</v>
      </c>
      <c r="U493" s="4">
        <v>9</v>
      </c>
      <c r="V493" s="4">
        <v>17</v>
      </c>
      <c r="W493" s="4">
        <v>28</v>
      </c>
      <c r="X493" s="4">
        <v>20</v>
      </c>
      <c r="Y493" s="4">
        <v>22</v>
      </c>
      <c r="Z493" s="4">
        <v>13</v>
      </c>
      <c r="AA493" s="4">
        <v>18</v>
      </c>
      <c r="AB493" s="4">
        <v>32</v>
      </c>
      <c r="AC493" s="4">
        <v>6</v>
      </c>
      <c r="AD493" s="4">
        <v>23</v>
      </c>
      <c r="AE493" s="4">
        <v>12</v>
      </c>
      <c r="AF493" s="4">
        <v>21</v>
      </c>
      <c r="AG493" s="4">
        <v>31</v>
      </c>
      <c r="AH493" s="4">
        <v>26</v>
      </c>
      <c r="AI493" s="4">
        <v>0</v>
      </c>
      <c r="AJ493" s="4">
        <v>0</v>
      </c>
      <c r="AK493" s="4">
        <v>0</v>
      </c>
      <c r="AL493" s="4">
        <v>0</v>
      </c>
    </row>
    <row r="494" spans="5:38" ht="16.149999999999999" thickBot="1" x14ac:dyDescent="0.55000000000000004">
      <c r="E494" s="101"/>
      <c r="F494" s="99"/>
      <c r="G494" s="4">
        <v>4</v>
      </c>
      <c r="H494" s="4">
        <v>3</v>
      </c>
      <c r="I494" s="4">
        <v>2</v>
      </c>
      <c r="J494" s="4">
        <v>1</v>
      </c>
      <c r="K494" s="4">
        <v>0</v>
      </c>
      <c r="L494" s="4">
        <v>0</v>
      </c>
      <c r="M494" s="4">
        <v>0</v>
      </c>
      <c r="N494" s="4">
        <v>0</v>
      </c>
      <c r="O494" s="4">
        <v>0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0</v>
      </c>
      <c r="X494" s="4">
        <v>0</v>
      </c>
      <c r="Y494" s="4">
        <v>0</v>
      </c>
      <c r="Z494" s="4">
        <v>0</v>
      </c>
      <c r="AA494" s="4">
        <v>0</v>
      </c>
      <c r="AB494" s="4">
        <v>0</v>
      </c>
      <c r="AC494" s="4">
        <v>0</v>
      </c>
      <c r="AD494" s="4">
        <v>0</v>
      </c>
      <c r="AE494" s="4">
        <v>0</v>
      </c>
      <c r="AF494" s="4">
        <v>0</v>
      </c>
      <c r="AG494" s="4">
        <v>0</v>
      </c>
      <c r="AH494" s="4">
        <v>0</v>
      </c>
      <c r="AI494" s="4">
        <v>0</v>
      </c>
      <c r="AJ494" s="4">
        <v>0</v>
      </c>
      <c r="AK494" s="4">
        <v>0</v>
      </c>
      <c r="AL494" s="4">
        <v>0</v>
      </c>
    </row>
    <row r="495" spans="5:38" x14ac:dyDescent="0.5">
      <c r="E495" s="100">
        <v>6</v>
      </c>
      <c r="F495" s="98" t="s">
        <v>13</v>
      </c>
      <c r="G495" s="4">
        <v>25</v>
      </c>
      <c r="H495" s="4">
        <v>7</v>
      </c>
      <c r="I495" s="4">
        <v>19</v>
      </c>
      <c r="J495" s="4">
        <v>27</v>
      </c>
      <c r="K495" s="4">
        <v>14</v>
      </c>
      <c r="L495" s="4">
        <v>11</v>
      </c>
      <c r="M495" s="4">
        <v>10</v>
      </c>
      <c r="N495" s="4">
        <v>30</v>
      </c>
      <c r="O495" s="4">
        <v>15</v>
      </c>
      <c r="P495" s="4">
        <v>16</v>
      </c>
      <c r="Q495" s="4">
        <v>29</v>
      </c>
      <c r="R495" s="4">
        <v>8</v>
      </c>
      <c r="S495" s="4">
        <v>24</v>
      </c>
      <c r="T495" s="4">
        <v>9</v>
      </c>
      <c r="U495" s="4">
        <v>17</v>
      </c>
      <c r="V495" s="4">
        <v>28</v>
      </c>
      <c r="W495" s="4">
        <v>20</v>
      </c>
      <c r="X495" s="4">
        <v>22</v>
      </c>
      <c r="Y495" s="4">
        <v>13</v>
      </c>
      <c r="Z495" s="4">
        <v>18</v>
      </c>
      <c r="AA495" s="4">
        <v>32</v>
      </c>
      <c r="AB495" s="4">
        <v>6</v>
      </c>
      <c r="AC495" s="4">
        <v>23</v>
      </c>
      <c r="AD495" s="4">
        <v>12</v>
      </c>
      <c r="AE495" s="4">
        <v>21</v>
      </c>
      <c r="AF495" s="4">
        <v>31</v>
      </c>
      <c r="AG495" s="4">
        <v>26</v>
      </c>
      <c r="AH495" s="4">
        <v>0</v>
      </c>
      <c r="AI495" s="4">
        <v>0</v>
      </c>
      <c r="AJ495" s="4">
        <v>0</v>
      </c>
      <c r="AK495" s="4">
        <v>0</v>
      </c>
      <c r="AL495" s="4">
        <v>0</v>
      </c>
    </row>
    <row r="496" spans="5:38" ht="16.149999999999999" thickBot="1" x14ac:dyDescent="0.55000000000000004">
      <c r="E496" s="101"/>
      <c r="F496" s="99"/>
      <c r="G496" s="4">
        <v>5</v>
      </c>
      <c r="H496" s="4">
        <v>4</v>
      </c>
      <c r="I496" s="4">
        <v>3</v>
      </c>
      <c r="J496" s="4">
        <v>2</v>
      </c>
      <c r="K496" s="4">
        <v>1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0</v>
      </c>
      <c r="X496" s="4">
        <v>0</v>
      </c>
      <c r="Y496" s="4">
        <v>0</v>
      </c>
      <c r="Z496" s="4">
        <v>0</v>
      </c>
      <c r="AA496" s="4">
        <v>0</v>
      </c>
      <c r="AB496" s="4">
        <v>0</v>
      </c>
      <c r="AC496" s="4">
        <v>0</v>
      </c>
      <c r="AD496" s="4">
        <v>0</v>
      </c>
      <c r="AE496" s="4">
        <v>0</v>
      </c>
      <c r="AF496" s="4">
        <v>0</v>
      </c>
      <c r="AG496" s="4">
        <v>0</v>
      </c>
      <c r="AH496" s="4">
        <v>0</v>
      </c>
      <c r="AI496" s="4">
        <v>0</v>
      </c>
      <c r="AJ496" s="4">
        <v>0</v>
      </c>
      <c r="AK496" s="4">
        <v>0</v>
      </c>
      <c r="AL496" s="4">
        <v>0</v>
      </c>
    </row>
    <row r="498" spans="5:38" ht="16.149999999999999" thickBot="1" x14ac:dyDescent="0.55000000000000004"/>
    <row r="499" spans="5:38" x14ac:dyDescent="0.5">
      <c r="E499" s="100">
        <v>0</v>
      </c>
      <c r="F499" s="102" t="s">
        <v>11</v>
      </c>
      <c r="G499" s="4">
        <v>1</v>
      </c>
      <c r="H499" s="4">
        <v>3</v>
      </c>
      <c r="I499" s="4">
        <v>2</v>
      </c>
      <c r="J499" s="4">
        <v>5</v>
      </c>
      <c r="K499" s="4">
        <v>4</v>
      </c>
      <c r="L499" s="4">
        <v>25</v>
      </c>
      <c r="M499" s="4">
        <v>7</v>
      </c>
      <c r="N499" s="4">
        <v>19</v>
      </c>
      <c r="O499" s="4">
        <v>27</v>
      </c>
      <c r="P499" s="4">
        <v>14</v>
      </c>
      <c r="Q499" s="4">
        <v>11</v>
      </c>
      <c r="R499" s="4">
        <v>10</v>
      </c>
      <c r="S499" s="4">
        <v>30</v>
      </c>
      <c r="T499" s="4">
        <v>15</v>
      </c>
      <c r="U499" s="4">
        <v>16</v>
      </c>
      <c r="V499" s="4">
        <v>29</v>
      </c>
      <c r="W499" s="4">
        <v>8</v>
      </c>
      <c r="X499" s="4">
        <v>24</v>
      </c>
      <c r="Y499" s="4">
        <v>9</v>
      </c>
      <c r="Z499" s="4">
        <v>17</v>
      </c>
      <c r="AA499" s="4">
        <v>28</v>
      </c>
      <c r="AB499" s="4">
        <v>20</v>
      </c>
      <c r="AC499" s="4">
        <v>22</v>
      </c>
      <c r="AD499" s="4">
        <v>13</v>
      </c>
      <c r="AE499" s="4">
        <v>18</v>
      </c>
      <c r="AF499" s="4">
        <v>32</v>
      </c>
      <c r="AG499" s="4">
        <v>6</v>
      </c>
      <c r="AH499" s="4">
        <v>23</v>
      </c>
      <c r="AI499" s="4">
        <v>12</v>
      </c>
      <c r="AJ499" s="4">
        <v>21</v>
      </c>
      <c r="AK499" s="4">
        <v>31</v>
      </c>
      <c r="AL499" s="4">
        <v>26</v>
      </c>
    </row>
    <row r="500" spans="5:38" ht="16.149999999999999" thickBot="1" x14ac:dyDescent="0.55000000000000004">
      <c r="E500" s="101"/>
      <c r="F500" s="103"/>
      <c r="G500" s="4"/>
      <c r="H500" s="4"/>
      <c r="I500" s="4"/>
      <c r="J500" s="4"/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0</v>
      </c>
      <c r="X500" s="4">
        <v>0</v>
      </c>
      <c r="Y500" s="4">
        <v>0</v>
      </c>
      <c r="Z500" s="4">
        <v>0</v>
      </c>
      <c r="AA500" s="4">
        <v>0</v>
      </c>
      <c r="AB500" s="4">
        <v>0</v>
      </c>
      <c r="AC500" s="4">
        <v>0</v>
      </c>
      <c r="AD500" s="4">
        <v>0</v>
      </c>
      <c r="AE500" s="4">
        <v>0</v>
      </c>
      <c r="AF500" s="4">
        <v>0</v>
      </c>
      <c r="AG500" s="4">
        <v>0</v>
      </c>
      <c r="AH500" s="4">
        <v>0</v>
      </c>
      <c r="AI500" s="4">
        <v>0</v>
      </c>
      <c r="AJ500" s="4">
        <v>0</v>
      </c>
      <c r="AK500" s="4">
        <v>0</v>
      </c>
      <c r="AL500" s="4">
        <v>0</v>
      </c>
    </row>
    <row r="501" spans="5:38" x14ac:dyDescent="0.5">
      <c r="E501" s="100">
        <v>1</v>
      </c>
      <c r="F501" s="98" t="s">
        <v>13</v>
      </c>
      <c r="G501" s="4">
        <v>3</v>
      </c>
      <c r="H501" s="4">
        <v>2</v>
      </c>
      <c r="I501" s="4">
        <v>5</v>
      </c>
      <c r="J501" s="4">
        <v>4</v>
      </c>
      <c r="K501" s="4">
        <v>25</v>
      </c>
      <c r="L501" s="4">
        <v>7</v>
      </c>
      <c r="M501" s="4">
        <v>19</v>
      </c>
      <c r="N501" s="4">
        <v>27</v>
      </c>
      <c r="O501" s="4">
        <v>14</v>
      </c>
      <c r="P501" s="4">
        <v>11</v>
      </c>
      <c r="Q501" s="4">
        <v>10</v>
      </c>
      <c r="R501" s="4">
        <v>30</v>
      </c>
      <c r="S501" s="4">
        <v>15</v>
      </c>
      <c r="T501" s="4">
        <v>16</v>
      </c>
      <c r="U501" s="4">
        <v>29</v>
      </c>
      <c r="V501" s="4">
        <v>8</v>
      </c>
      <c r="W501" s="4">
        <v>24</v>
      </c>
      <c r="X501" s="4">
        <v>9</v>
      </c>
      <c r="Y501" s="4">
        <v>17</v>
      </c>
      <c r="Z501" s="4">
        <v>28</v>
      </c>
      <c r="AA501" s="4">
        <v>20</v>
      </c>
      <c r="AB501" s="4">
        <v>22</v>
      </c>
      <c r="AC501" s="4">
        <v>13</v>
      </c>
      <c r="AD501" s="4">
        <v>18</v>
      </c>
      <c r="AE501" s="4">
        <v>32</v>
      </c>
      <c r="AF501" s="4">
        <v>6</v>
      </c>
      <c r="AG501" s="4">
        <v>23</v>
      </c>
      <c r="AH501" s="4">
        <v>12</v>
      </c>
      <c r="AI501" s="4">
        <v>21</v>
      </c>
      <c r="AJ501" s="4">
        <v>31</v>
      </c>
      <c r="AK501" s="4">
        <v>26</v>
      </c>
      <c r="AL501" s="4">
        <v>0</v>
      </c>
    </row>
    <row r="502" spans="5:38" ht="16.149999999999999" thickBot="1" x14ac:dyDescent="0.55000000000000004">
      <c r="E502" s="101"/>
      <c r="F502" s="99"/>
      <c r="G502" s="4">
        <v>1</v>
      </c>
      <c r="H502" s="4">
        <v>0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0</v>
      </c>
      <c r="X502" s="4">
        <v>0</v>
      </c>
      <c r="Y502" s="4">
        <v>0</v>
      </c>
      <c r="Z502" s="4">
        <v>0</v>
      </c>
      <c r="AA502" s="4">
        <v>0</v>
      </c>
      <c r="AB502" s="4">
        <v>0</v>
      </c>
      <c r="AC502" s="4">
        <v>0</v>
      </c>
      <c r="AD502" s="4">
        <v>0</v>
      </c>
      <c r="AE502" s="4">
        <v>0</v>
      </c>
      <c r="AF502" s="4">
        <v>0</v>
      </c>
      <c r="AG502" s="4">
        <v>0</v>
      </c>
      <c r="AH502" s="4">
        <v>0</v>
      </c>
      <c r="AI502" s="4">
        <v>0</v>
      </c>
      <c r="AJ502" s="4">
        <v>0</v>
      </c>
      <c r="AK502" s="4">
        <v>0</v>
      </c>
      <c r="AL502" s="4">
        <v>0</v>
      </c>
    </row>
    <row r="503" spans="5:38" x14ac:dyDescent="0.5">
      <c r="E503" s="100">
        <v>2</v>
      </c>
      <c r="F503" s="98" t="s">
        <v>13</v>
      </c>
      <c r="G503" s="4">
        <v>2</v>
      </c>
      <c r="H503" s="4">
        <v>5</v>
      </c>
      <c r="I503" s="4">
        <v>4</v>
      </c>
      <c r="J503" s="4">
        <v>25</v>
      </c>
      <c r="K503" s="4">
        <v>7</v>
      </c>
      <c r="L503" s="4">
        <v>19</v>
      </c>
      <c r="M503" s="4">
        <v>27</v>
      </c>
      <c r="N503" s="4">
        <v>14</v>
      </c>
      <c r="O503" s="4">
        <v>11</v>
      </c>
      <c r="P503" s="4">
        <v>10</v>
      </c>
      <c r="Q503" s="4">
        <v>30</v>
      </c>
      <c r="R503" s="4">
        <v>15</v>
      </c>
      <c r="S503" s="4">
        <v>16</v>
      </c>
      <c r="T503" s="4">
        <v>29</v>
      </c>
      <c r="U503" s="4">
        <v>8</v>
      </c>
      <c r="V503" s="4">
        <v>24</v>
      </c>
      <c r="W503" s="4">
        <v>9</v>
      </c>
      <c r="X503" s="4">
        <v>17</v>
      </c>
      <c r="Y503" s="4">
        <v>28</v>
      </c>
      <c r="Z503" s="4">
        <v>20</v>
      </c>
      <c r="AA503" s="4">
        <v>22</v>
      </c>
      <c r="AB503" s="4">
        <v>13</v>
      </c>
      <c r="AC503" s="4">
        <v>18</v>
      </c>
      <c r="AD503" s="4">
        <v>32</v>
      </c>
      <c r="AE503" s="4">
        <v>6</v>
      </c>
      <c r="AF503" s="4">
        <v>23</v>
      </c>
      <c r="AG503" s="4">
        <v>12</v>
      </c>
      <c r="AH503" s="4">
        <v>21</v>
      </c>
      <c r="AI503" s="4">
        <v>31</v>
      </c>
      <c r="AJ503" s="4">
        <v>26</v>
      </c>
      <c r="AK503" s="4">
        <v>0</v>
      </c>
      <c r="AL503" s="4">
        <v>0</v>
      </c>
    </row>
    <row r="504" spans="5:38" ht="16.149999999999999" thickBot="1" x14ac:dyDescent="0.55000000000000004">
      <c r="E504" s="101"/>
      <c r="F504" s="99"/>
      <c r="G504" s="4">
        <v>3</v>
      </c>
      <c r="H504" s="4">
        <v>1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0</v>
      </c>
      <c r="X504" s="4">
        <v>0</v>
      </c>
      <c r="Y504" s="4">
        <v>0</v>
      </c>
      <c r="Z504" s="4">
        <v>0</v>
      </c>
      <c r="AA504" s="4">
        <v>0</v>
      </c>
      <c r="AB504" s="4">
        <v>0</v>
      </c>
      <c r="AC504" s="4">
        <v>0</v>
      </c>
      <c r="AD504" s="4">
        <v>0</v>
      </c>
      <c r="AE504" s="4">
        <v>0</v>
      </c>
      <c r="AF504" s="4">
        <v>0</v>
      </c>
      <c r="AG504" s="4">
        <v>0</v>
      </c>
      <c r="AH504" s="4">
        <v>0</v>
      </c>
      <c r="AI504" s="4">
        <v>0</v>
      </c>
      <c r="AJ504" s="4">
        <v>0</v>
      </c>
      <c r="AK504" s="4">
        <v>0</v>
      </c>
      <c r="AL504" s="4">
        <v>0</v>
      </c>
    </row>
    <row r="505" spans="5:38" x14ac:dyDescent="0.5">
      <c r="E505" s="100">
        <v>3</v>
      </c>
      <c r="F505" s="98" t="s">
        <v>13</v>
      </c>
      <c r="G505" s="4">
        <v>5</v>
      </c>
      <c r="H505" s="4">
        <v>4</v>
      </c>
      <c r="I505" s="4">
        <v>25</v>
      </c>
      <c r="J505" s="4">
        <v>7</v>
      </c>
      <c r="K505" s="4">
        <v>19</v>
      </c>
      <c r="L505" s="4">
        <v>27</v>
      </c>
      <c r="M505" s="4">
        <v>14</v>
      </c>
      <c r="N505" s="4">
        <v>11</v>
      </c>
      <c r="O505" s="4">
        <v>10</v>
      </c>
      <c r="P505" s="4">
        <v>30</v>
      </c>
      <c r="Q505" s="4">
        <v>15</v>
      </c>
      <c r="R505" s="4">
        <v>16</v>
      </c>
      <c r="S505" s="4">
        <v>29</v>
      </c>
      <c r="T505" s="4">
        <v>8</v>
      </c>
      <c r="U505" s="4">
        <v>24</v>
      </c>
      <c r="V505" s="4">
        <v>9</v>
      </c>
      <c r="W505" s="4">
        <v>17</v>
      </c>
      <c r="X505" s="4">
        <v>28</v>
      </c>
      <c r="Y505" s="4">
        <v>20</v>
      </c>
      <c r="Z505" s="4">
        <v>22</v>
      </c>
      <c r="AA505" s="4">
        <v>13</v>
      </c>
      <c r="AB505" s="4">
        <v>18</v>
      </c>
      <c r="AC505" s="4">
        <v>32</v>
      </c>
      <c r="AD505" s="4">
        <v>6</v>
      </c>
      <c r="AE505" s="4">
        <v>23</v>
      </c>
      <c r="AF505" s="4">
        <v>12</v>
      </c>
      <c r="AG505" s="4">
        <v>21</v>
      </c>
      <c r="AH505" s="4">
        <v>31</v>
      </c>
      <c r="AI505" s="4">
        <v>26</v>
      </c>
      <c r="AJ505" s="4">
        <v>0</v>
      </c>
      <c r="AK505" s="4">
        <v>0</v>
      </c>
      <c r="AL505" s="4">
        <v>0</v>
      </c>
    </row>
    <row r="506" spans="5:38" ht="16.149999999999999" thickBot="1" x14ac:dyDescent="0.55000000000000004">
      <c r="E506" s="101"/>
      <c r="F506" s="99"/>
      <c r="G506" s="4">
        <v>2</v>
      </c>
      <c r="H506" s="4">
        <v>3</v>
      </c>
      <c r="I506" s="4">
        <v>1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0</v>
      </c>
      <c r="X506" s="4">
        <v>0</v>
      </c>
      <c r="Y506" s="4">
        <v>0</v>
      </c>
      <c r="Z506" s="4">
        <v>0</v>
      </c>
      <c r="AA506" s="4">
        <v>0</v>
      </c>
      <c r="AB506" s="4">
        <v>0</v>
      </c>
      <c r="AC506" s="4">
        <v>0</v>
      </c>
      <c r="AD506" s="4">
        <v>0</v>
      </c>
      <c r="AE506" s="4">
        <v>0</v>
      </c>
      <c r="AF506" s="4">
        <v>0</v>
      </c>
      <c r="AG506" s="4">
        <v>0</v>
      </c>
      <c r="AH506" s="4">
        <v>0</v>
      </c>
      <c r="AI506" s="4">
        <v>0</v>
      </c>
      <c r="AJ506" s="4">
        <v>0</v>
      </c>
      <c r="AK506" s="4">
        <v>0</v>
      </c>
      <c r="AL506" s="4">
        <v>0</v>
      </c>
    </row>
    <row r="507" spans="5:38" x14ac:dyDescent="0.5">
      <c r="E507" s="100">
        <v>4</v>
      </c>
      <c r="F507" s="104" t="s">
        <v>80</v>
      </c>
      <c r="G507" s="4">
        <v>4</v>
      </c>
      <c r="H507" s="4">
        <v>5</v>
      </c>
      <c r="I507" s="4">
        <v>25</v>
      </c>
      <c r="J507" s="4">
        <v>7</v>
      </c>
      <c r="K507" s="4">
        <v>19</v>
      </c>
      <c r="L507" s="4">
        <v>27</v>
      </c>
      <c r="M507" s="4">
        <v>14</v>
      </c>
      <c r="N507" s="4">
        <v>11</v>
      </c>
      <c r="O507" s="4">
        <v>10</v>
      </c>
      <c r="P507" s="4">
        <v>30</v>
      </c>
      <c r="Q507" s="4">
        <v>15</v>
      </c>
      <c r="R507" s="4">
        <v>16</v>
      </c>
      <c r="S507" s="4">
        <v>29</v>
      </c>
      <c r="T507" s="4">
        <v>8</v>
      </c>
      <c r="U507" s="4">
        <v>24</v>
      </c>
      <c r="V507" s="4">
        <v>9</v>
      </c>
      <c r="W507" s="4">
        <v>17</v>
      </c>
      <c r="X507" s="4">
        <v>28</v>
      </c>
      <c r="Y507" s="4">
        <v>20</v>
      </c>
      <c r="Z507" s="4">
        <v>22</v>
      </c>
      <c r="AA507" s="4">
        <v>13</v>
      </c>
      <c r="AB507" s="4">
        <v>18</v>
      </c>
      <c r="AC507" s="4">
        <v>32</v>
      </c>
      <c r="AD507" s="4">
        <v>6</v>
      </c>
      <c r="AE507" s="4">
        <v>23</v>
      </c>
      <c r="AF507" s="4">
        <v>12</v>
      </c>
      <c r="AG507" s="4">
        <v>21</v>
      </c>
      <c r="AH507" s="4">
        <v>31</v>
      </c>
      <c r="AI507" s="4">
        <v>26</v>
      </c>
      <c r="AJ507" s="4">
        <v>0</v>
      </c>
      <c r="AK507" s="4">
        <v>0</v>
      </c>
      <c r="AL507" s="4">
        <v>0</v>
      </c>
    </row>
    <row r="508" spans="5:38" ht="16.149999999999999" thickBot="1" x14ac:dyDescent="0.55000000000000004">
      <c r="E508" s="101"/>
      <c r="F508" s="105"/>
      <c r="G508" s="4">
        <v>3</v>
      </c>
      <c r="H508" s="4">
        <v>2</v>
      </c>
      <c r="I508" s="4">
        <v>1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0</v>
      </c>
      <c r="X508" s="4">
        <v>0</v>
      </c>
      <c r="Y508" s="4">
        <v>0</v>
      </c>
      <c r="Z508" s="4">
        <v>0</v>
      </c>
      <c r="AA508" s="4">
        <v>0</v>
      </c>
      <c r="AB508" s="4">
        <v>0</v>
      </c>
      <c r="AC508" s="4">
        <v>0</v>
      </c>
      <c r="AD508" s="4">
        <v>0</v>
      </c>
      <c r="AE508" s="4">
        <v>0</v>
      </c>
      <c r="AF508" s="4">
        <v>0</v>
      </c>
      <c r="AG508" s="4">
        <v>0</v>
      </c>
      <c r="AH508" s="4">
        <v>0</v>
      </c>
      <c r="AI508" s="4">
        <v>0</v>
      </c>
      <c r="AJ508" s="4">
        <v>0</v>
      </c>
      <c r="AK508" s="4">
        <v>0</v>
      </c>
      <c r="AL508" s="4">
        <v>0</v>
      </c>
    </row>
    <row r="509" spans="5:38" x14ac:dyDescent="0.5">
      <c r="E509" s="100">
        <v>5</v>
      </c>
      <c r="F509" s="98" t="s">
        <v>13</v>
      </c>
      <c r="G509" s="4">
        <v>5</v>
      </c>
      <c r="H509" s="4">
        <v>25</v>
      </c>
      <c r="I509" s="4">
        <v>7</v>
      </c>
      <c r="J509" s="4">
        <v>19</v>
      </c>
      <c r="K509" s="4">
        <v>27</v>
      </c>
      <c r="L509" s="4">
        <v>14</v>
      </c>
      <c r="M509" s="4">
        <v>11</v>
      </c>
      <c r="N509" s="4">
        <v>10</v>
      </c>
      <c r="O509" s="4">
        <v>30</v>
      </c>
      <c r="P509" s="4">
        <v>15</v>
      </c>
      <c r="Q509" s="4">
        <v>16</v>
      </c>
      <c r="R509" s="4">
        <v>29</v>
      </c>
      <c r="S509" s="4">
        <v>8</v>
      </c>
      <c r="T509" s="4">
        <v>24</v>
      </c>
      <c r="U509" s="4">
        <v>9</v>
      </c>
      <c r="V509" s="4">
        <v>17</v>
      </c>
      <c r="W509" s="4">
        <v>28</v>
      </c>
      <c r="X509" s="4">
        <v>20</v>
      </c>
      <c r="Y509" s="4">
        <v>22</v>
      </c>
      <c r="Z509" s="4">
        <v>13</v>
      </c>
      <c r="AA509" s="4">
        <v>18</v>
      </c>
      <c r="AB509" s="4">
        <v>32</v>
      </c>
      <c r="AC509" s="4">
        <v>6</v>
      </c>
      <c r="AD509" s="4">
        <v>23</v>
      </c>
      <c r="AE509" s="4">
        <v>12</v>
      </c>
      <c r="AF509" s="4">
        <v>21</v>
      </c>
      <c r="AG509" s="4">
        <v>31</v>
      </c>
      <c r="AH509" s="4">
        <v>26</v>
      </c>
      <c r="AI509" s="4">
        <v>0</v>
      </c>
      <c r="AJ509" s="4">
        <v>0</v>
      </c>
      <c r="AK509" s="4">
        <v>0</v>
      </c>
      <c r="AL509" s="4">
        <v>0</v>
      </c>
    </row>
    <row r="510" spans="5:38" ht="16.149999999999999" thickBot="1" x14ac:dyDescent="0.55000000000000004">
      <c r="E510" s="101"/>
      <c r="F510" s="99"/>
      <c r="G510" s="4">
        <v>4</v>
      </c>
      <c r="H510" s="4">
        <v>3</v>
      </c>
      <c r="I510" s="4">
        <v>2</v>
      </c>
      <c r="J510" s="4">
        <v>1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0</v>
      </c>
      <c r="W510" s="4">
        <v>0</v>
      </c>
      <c r="X510" s="4">
        <v>0</v>
      </c>
      <c r="Y510" s="4">
        <v>0</v>
      </c>
      <c r="Z510" s="4">
        <v>0</v>
      </c>
      <c r="AA510" s="4">
        <v>0</v>
      </c>
      <c r="AB510" s="4">
        <v>0</v>
      </c>
      <c r="AC510" s="4">
        <v>0</v>
      </c>
      <c r="AD510" s="4">
        <v>0</v>
      </c>
      <c r="AE510" s="4">
        <v>0</v>
      </c>
      <c r="AF510" s="4">
        <v>0</v>
      </c>
      <c r="AG510" s="4">
        <v>0</v>
      </c>
      <c r="AH510" s="4">
        <v>0</v>
      </c>
      <c r="AI510" s="4">
        <v>0</v>
      </c>
      <c r="AJ510" s="4">
        <v>0</v>
      </c>
      <c r="AK510" s="4">
        <v>0</v>
      </c>
      <c r="AL510" s="4">
        <v>0</v>
      </c>
    </row>
    <row r="511" spans="5:38" x14ac:dyDescent="0.5">
      <c r="E511" s="100">
        <v>6</v>
      </c>
      <c r="F511" s="98" t="s">
        <v>13</v>
      </c>
      <c r="G511" s="4">
        <v>25</v>
      </c>
      <c r="H511" s="4">
        <v>7</v>
      </c>
      <c r="I511" s="4">
        <v>19</v>
      </c>
      <c r="J511" s="4">
        <v>27</v>
      </c>
      <c r="K511" s="4">
        <v>14</v>
      </c>
      <c r="L511" s="4">
        <v>11</v>
      </c>
      <c r="M511" s="4">
        <v>10</v>
      </c>
      <c r="N511" s="4">
        <v>30</v>
      </c>
      <c r="O511" s="4">
        <v>15</v>
      </c>
      <c r="P511" s="4">
        <v>16</v>
      </c>
      <c r="Q511" s="4">
        <v>29</v>
      </c>
      <c r="R511" s="4">
        <v>8</v>
      </c>
      <c r="S511" s="4">
        <v>24</v>
      </c>
      <c r="T511" s="4">
        <v>9</v>
      </c>
      <c r="U511" s="4">
        <v>17</v>
      </c>
      <c r="V511" s="4">
        <v>28</v>
      </c>
      <c r="W511" s="4">
        <v>20</v>
      </c>
      <c r="X511" s="4">
        <v>22</v>
      </c>
      <c r="Y511" s="4">
        <v>13</v>
      </c>
      <c r="Z511" s="4">
        <v>18</v>
      </c>
      <c r="AA511" s="4">
        <v>32</v>
      </c>
      <c r="AB511" s="4">
        <v>6</v>
      </c>
      <c r="AC511" s="4">
        <v>23</v>
      </c>
      <c r="AD511" s="4">
        <v>12</v>
      </c>
      <c r="AE511" s="4">
        <v>21</v>
      </c>
      <c r="AF511" s="4">
        <v>31</v>
      </c>
      <c r="AG511" s="4">
        <v>26</v>
      </c>
      <c r="AH511" s="4">
        <v>0</v>
      </c>
      <c r="AI511" s="4">
        <v>0</v>
      </c>
      <c r="AJ511" s="4">
        <v>0</v>
      </c>
      <c r="AK511" s="4">
        <v>0</v>
      </c>
      <c r="AL511" s="4">
        <v>0</v>
      </c>
    </row>
    <row r="512" spans="5:38" ht="16.149999999999999" thickBot="1" x14ac:dyDescent="0.55000000000000004">
      <c r="E512" s="101"/>
      <c r="F512" s="99"/>
      <c r="G512" s="4">
        <v>5</v>
      </c>
      <c r="H512" s="4">
        <v>4</v>
      </c>
      <c r="I512" s="4">
        <v>3</v>
      </c>
      <c r="J512" s="4">
        <v>2</v>
      </c>
      <c r="K512" s="4">
        <v>1</v>
      </c>
      <c r="L512" s="4">
        <v>0</v>
      </c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>
        <v>0</v>
      </c>
      <c r="X512" s="4">
        <v>0</v>
      </c>
      <c r="Y512" s="4">
        <v>0</v>
      </c>
      <c r="Z512" s="4">
        <v>0</v>
      </c>
      <c r="AA512" s="4">
        <v>0</v>
      </c>
      <c r="AB512" s="4">
        <v>0</v>
      </c>
      <c r="AC512" s="4">
        <v>0</v>
      </c>
      <c r="AD512" s="4">
        <v>0</v>
      </c>
      <c r="AE512" s="4">
        <v>0</v>
      </c>
      <c r="AF512" s="4">
        <v>0</v>
      </c>
      <c r="AG512" s="4">
        <v>0</v>
      </c>
      <c r="AH512" s="4">
        <v>0</v>
      </c>
      <c r="AI512" s="4">
        <v>0</v>
      </c>
      <c r="AJ512" s="4">
        <v>0</v>
      </c>
      <c r="AK512" s="4">
        <v>0</v>
      </c>
      <c r="AL512" s="4">
        <v>0</v>
      </c>
    </row>
    <row r="514" spans="5:38" ht="16.149999999999999" thickBot="1" x14ac:dyDescent="0.55000000000000004"/>
    <row r="515" spans="5:38" x14ac:dyDescent="0.5">
      <c r="E515" s="100">
        <v>0</v>
      </c>
      <c r="F515" s="102" t="s">
        <v>11</v>
      </c>
      <c r="G515" s="4">
        <v>1</v>
      </c>
      <c r="H515" s="4">
        <v>4</v>
      </c>
      <c r="I515" s="4">
        <v>2</v>
      </c>
      <c r="J515" s="4">
        <v>3</v>
      </c>
      <c r="K515" s="4">
        <v>5</v>
      </c>
      <c r="L515" s="4">
        <v>25</v>
      </c>
      <c r="M515" s="4">
        <v>7</v>
      </c>
      <c r="N515" s="4">
        <v>19</v>
      </c>
      <c r="O515" s="4">
        <v>27</v>
      </c>
      <c r="P515" s="4">
        <v>14</v>
      </c>
      <c r="Q515" s="4">
        <v>11</v>
      </c>
      <c r="R515" s="4">
        <v>10</v>
      </c>
      <c r="S515" s="4">
        <v>30</v>
      </c>
      <c r="T515" s="4">
        <v>15</v>
      </c>
      <c r="U515" s="4">
        <v>16</v>
      </c>
      <c r="V515" s="4">
        <v>29</v>
      </c>
      <c r="W515" s="4">
        <v>8</v>
      </c>
      <c r="X515" s="4">
        <v>24</v>
      </c>
      <c r="Y515" s="4">
        <v>9</v>
      </c>
      <c r="Z515" s="4">
        <v>17</v>
      </c>
      <c r="AA515" s="4">
        <v>28</v>
      </c>
      <c r="AB515" s="4">
        <v>20</v>
      </c>
      <c r="AC515" s="4">
        <v>22</v>
      </c>
      <c r="AD515" s="4">
        <v>13</v>
      </c>
      <c r="AE515" s="4">
        <v>18</v>
      </c>
      <c r="AF515" s="4">
        <v>32</v>
      </c>
      <c r="AG515" s="4">
        <v>6</v>
      </c>
      <c r="AH515" s="4">
        <v>23</v>
      </c>
      <c r="AI515" s="4">
        <v>12</v>
      </c>
      <c r="AJ515" s="4">
        <v>21</v>
      </c>
      <c r="AK515" s="4">
        <v>31</v>
      </c>
      <c r="AL515" s="4">
        <v>26</v>
      </c>
    </row>
    <row r="516" spans="5:38" ht="16.149999999999999" thickBot="1" x14ac:dyDescent="0.55000000000000004">
      <c r="E516" s="101"/>
      <c r="F516" s="103"/>
      <c r="G516" s="4"/>
      <c r="H516" s="4"/>
      <c r="I516" s="4"/>
      <c r="J516" s="4"/>
      <c r="K516" s="4">
        <v>0</v>
      </c>
      <c r="L516" s="4">
        <v>0</v>
      </c>
      <c r="M516" s="4">
        <v>0</v>
      </c>
      <c r="N516" s="4">
        <v>0</v>
      </c>
      <c r="O516" s="4">
        <v>0</v>
      </c>
      <c r="P516" s="4">
        <v>0</v>
      </c>
      <c r="Q516" s="4">
        <v>0</v>
      </c>
      <c r="R516" s="4">
        <v>0</v>
      </c>
      <c r="S516" s="4">
        <v>0</v>
      </c>
      <c r="T516" s="4">
        <v>0</v>
      </c>
      <c r="U516" s="4">
        <v>0</v>
      </c>
      <c r="V516" s="4">
        <v>0</v>
      </c>
      <c r="W516" s="4">
        <v>0</v>
      </c>
      <c r="X516" s="4">
        <v>0</v>
      </c>
      <c r="Y516" s="4">
        <v>0</v>
      </c>
      <c r="Z516" s="4">
        <v>0</v>
      </c>
      <c r="AA516" s="4">
        <v>0</v>
      </c>
      <c r="AB516" s="4">
        <v>0</v>
      </c>
      <c r="AC516" s="4">
        <v>0</v>
      </c>
      <c r="AD516" s="4">
        <v>0</v>
      </c>
      <c r="AE516" s="4">
        <v>0</v>
      </c>
      <c r="AF516" s="4">
        <v>0</v>
      </c>
      <c r="AG516" s="4">
        <v>0</v>
      </c>
      <c r="AH516" s="4">
        <v>0</v>
      </c>
      <c r="AI516" s="4">
        <v>0</v>
      </c>
      <c r="AJ516" s="4">
        <v>0</v>
      </c>
      <c r="AK516" s="4">
        <v>0</v>
      </c>
      <c r="AL516" s="4">
        <v>0</v>
      </c>
    </row>
    <row r="517" spans="5:38" x14ac:dyDescent="0.5">
      <c r="E517" s="100">
        <v>1</v>
      </c>
      <c r="F517" s="98" t="s">
        <v>13</v>
      </c>
      <c r="G517" s="4">
        <v>4</v>
      </c>
      <c r="H517" s="4">
        <v>2</v>
      </c>
      <c r="I517" s="4">
        <v>3</v>
      </c>
      <c r="J517" s="4">
        <v>5</v>
      </c>
      <c r="K517" s="4">
        <v>25</v>
      </c>
      <c r="L517" s="4">
        <v>7</v>
      </c>
      <c r="M517" s="4">
        <v>19</v>
      </c>
      <c r="N517" s="4">
        <v>27</v>
      </c>
      <c r="O517" s="4">
        <v>14</v>
      </c>
      <c r="P517" s="4">
        <v>11</v>
      </c>
      <c r="Q517" s="4">
        <v>10</v>
      </c>
      <c r="R517" s="4">
        <v>30</v>
      </c>
      <c r="S517" s="4">
        <v>15</v>
      </c>
      <c r="T517" s="4">
        <v>16</v>
      </c>
      <c r="U517" s="4">
        <v>29</v>
      </c>
      <c r="V517" s="4">
        <v>8</v>
      </c>
      <c r="W517" s="4">
        <v>24</v>
      </c>
      <c r="X517" s="4">
        <v>9</v>
      </c>
      <c r="Y517" s="4">
        <v>17</v>
      </c>
      <c r="Z517" s="4">
        <v>28</v>
      </c>
      <c r="AA517" s="4">
        <v>20</v>
      </c>
      <c r="AB517" s="4">
        <v>22</v>
      </c>
      <c r="AC517" s="4">
        <v>13</v>
      </c>
      <c r="AD517" s="4">
        <v>18</v>
      </c>
      <c r="AE517" s="4">
        <v>32</v>
      </c>
      <c r="AF517" s="4">
        <v>6</v>
      </c>
      <c r="AG517" s="4">
        <v>23</v>
      </c>
      <c r="AH517" s="4">
        <v>12</v>
      </c>
      <c r="AI517" s="4">
        <v>21</v>
      </c>
      <c r="AJ517" s="4">
        <v>31</v>
      </c>
      <c r="AK517" s="4">
        <v>26</v>
      </c>
      <c r="AL517" s="4">
        <v>0</v>
      </c>
    </row>
    <row r="518" spans="5:38" ht="16.149999999999999" thickBot="1" x14ac:dyDescent="0.55000000000000004">
      <c r="E518" s="101"/>
      <c r="F518" s="99"/>
      <c r="G518" s="4">
        <v>1</v>
      </c>
      <c r="H518" s="4">
        <v>0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4">
        <v>0</v>
      </c>
      <c r="O518" s="4">
        <v>0</v>
      </c>
      <c r="P518" s="4">
        <v>0</v>
      </c>
      <c r="Q518" s="4">
        <v>0</v>
      </c>
      <c r="R518" s="4">
        <v>0</v>
      </c>
      <c r="S518" s="4">
        <v>0</v>
      </c>
      <c r="T518" s="4">
        <v>0</v>
      </c>
      <c r="U518" s="4">
        <v>0</v>
      </c>
      <c r="V518" s="4">
        <v>0</v>
      </c>
      <c r="W518" s="4">
        <v>0</v>
      </c>
      <c r="X518" s="4">
        <v>0</v>
      </c>
      <c r="Y518" s="4">
        <v>0</v>
      </c>
      <c r="Z518" s="4">
        <v>0</v>
      </c>
      <c r="AA518" s="4">
        <v>0</v>
      </c>
      <c r="AB518" s="4">
        <v>0</v>
      </c>
      <c r="AC518" s="4">
        <v>0</v>
      </c>
      <c r="AD518" s="4">
        <v>0</v>
      </c>
      <c r="AE518" s="4">
        <v>0</v>
      </c>
      <c r="AF518" s="4">
        <v>0</v>
      </c>
      <c r="AG518" s="4">
        <v>0</v>
      </c>
      <c r="AH518" s="4">
        <v>0</v>
      </c>
      <c r="AI518" s="4">
        <v>0</v>
      </c>
      <c r="AJ518" s="4">
        <v>0</v>
      </c>
      <c r="AK518" s="4">
        <v>0</v>
      </c>
      <c r="AL518" s="4">
        <v>0</v>
      </c>
    </row>
    <row r="519" spans="5:38" x14ac:dyDescent="0.5">
      <c r="E519" s="100">
        <v>2</v>
      </c>
      <c r="F519" s="98" t="s">
        <v>18</v>
      </c>
      <c r="G519" s="4">
        <v>2</v>
      </c>
      <c r="H519" s="4">
        <v>4</v>
      </c>
      <c r="I519" s="4">
        <v>3</v>
      </c>
      <c r="J519" s="4">
        <v>5</v>
      </c>
      <c r="K519" s="4">
        <v>25</v>
      </c>
      <c r="L519" s="4">
        <v>7</v>
      </c>
      <c r="M519" s="4">
        <v>19</v>
      </c>
      <c r="N519" s="4">
        <v>27</v>
      </c>
      <c r="O519" s="4">
        <v>14</v>
      </c>
      <c r="P519" s="4">
        <v>11</v>
      </c>
      <c r="Q519" s="4">
        <v>10</v>
      </c>
      <c r="R519" s="4">
        <v>30</v>
      </c>
      <c r="S519" s="4">
        <v>15</v>
      </c>
      <c r="T519" s="4">
        <v>16</v>
      </c>
      <c r="U519" s="4">
        <v>29</v>
      </c>
      <c r="V519" s="4">
        <v>8</v>
      </c>
      <c r="W519" s="4">
        <v>24</v>
      </c>
      <c r="X519" s="4">
        <v>9</v>
      </c>
      <c r="Y519" s="4">
        <v>17</v>
      </c>
      <c r="Z519" s="4">
        <v>28</v>
      </c>
      <c r="AA519" s="4">
        <v>20</v>
      </c>
      <c r="AB519" s="4">
        <v>22</v>
      </c>
      <c r="AC519" s="4">
        <v>13</v>
      </c>
      <c r="AD519" s="4">
        <v>18</v>
      </c>
      <c r="AE519" s="4">
        <v>32</v>
      </c>
      <c r="AF519" s="4">
        <v>6</v>
      </c>
      <c r="AG519" s="4">
        <v>23</v>
      </c>
      <c r="AH519" s="4">
        <v>12</v>
      </c>
      <c r="AI519" s="4">
        <v>21</v>
      </c>
      <c r="AJ519" s="4">
        <v>31</v>
      </c>
      <c r="AK519" s="4">
        <v>26</v>
      </c>
      <c r="AL519" s="4">
        <v>0</v>
      </c>
    </row>
    <row r="520" spans="5:38" ht="16.149999999999999" thickBot="1" x14ac:dyDescent="0.55000000000000004">
      <c r="E520" s="101"/>
      <c r="F520" s="99"/>
      <c r="G520" s="4">
        <v>1</v>
      </c>
      <c r="H520" s="4">
        <v>0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0</v>
      </c>
      <c r="P520" s="4">
        <v>0</v>
      </c>
      <c r="Q520" s="4">
        <v>0</v>
      </c>
      <c r="R520" s="4">
        <v>0</v>
      </c>
      <c r="S520" s="4">
        <v>0</v>
      </c>
      <c r="T520" s="4">
        <v>0</v>
      </c>
      <c r="U520" s="4">
        <v>0</v>
      </c>
      <c r="V520" s="4">
        <v>0</v>
      </c>
      <c r="W520" s="4">
        <v>0</v>
      </c>
      <c r="X520" s="4">
        <v>0</v>
      </c>
      <c r="Y520" s="4">
        <v>0</v>
      </c>
      <c r="Z520" s="4">
        <v>0</v>
      </c>
      <c r="AA520" s="4">
        <v>0</v>
      </c>
      <c r="AB520" s="4">
        <v>0</v>
      </c>
      <c r="AC520" s="4">
        <v>0</v>
      </c>
      <c r="AD520" s="4">
        <v>0</v>
      </c>
      <c r="AE520" s="4">
        <v>0</v>
      </c>
      <c r="AF520" s="4">
        <v>0</v>
      </c>
      <c r="AG520" s="4">
        <v>0</v>
      </c>
      <c r="AH520" s="4">
        <v>0</v>
      </c>
      <c r="AI520" s="4">
        <v>0</v>
      </c>
      <c r="AJ520" s="4">
        <v>0</v>
      </c>
      <c r="AK520" s="4">
        <v>0</v>
      </c>
      <c r="AL520" s="4">
        <v>0</v>
      </c>
    </row>
    <row r="521" spans="5:38" x14ac:dyDescent="0.5">
      <c r="E521" s="100">
        <v>3</v>
      </c>
      <c r="F521" s="98" t="s">
        <v>13</v>
      </c>
      <c r="G521" s="4">
        <v>4</v>
      </c>
      <c r="H521" s="4">
        <v>3</v>
      </c>
      <c r="I521" s="4">
        <v>5</v>
      </c>
      <c r="J521" s="4">
        <v>25</v>
      </c>
      <c r="K521" s="4">
        <v>7</v>
      </c>
      <c r="L521" s="4">
        <v>19</v>
      </c>
      <c r="M521" s="4">
        <v>27</v>
      </c>
      <c r="N521" s="4">
        <v>14</v>
      </c>
      <c r="O521" s="4">
        <v>11</v>
      </c>
      <c r="P521" s="4">
        <v>10</v>
      </c>
      <c r="Q521" s="4">
        <v>30</v>
      </c>
      <c r="R521" s="4">
        <v>15</v>
      </c>
      <c r="S521" s="4">
        <v>16</v>
      </c>
      <c r="T521" s="4">
        <v>29</v>
      </c>
      <c r="U521" s="4">
        <v>8</v>
      </c>
      <c r="V521" s="4">
        <v>24</v>
      </c>
      <c r="W521" s="4">
        <v>9</v>
      </c>
      <c r="X521" s="4">
        <v>17</v>
      </c>
      <c r="Y521" s="4">
        <v>28</v>
      </c>
      <c r="Z521" s="4">
        <v>20</v>
      </c>
      <c r="AA521" s="4">
        <v>22</v>
      </c>
      <c r="AB521" s="4">
        <v>13</v>
      </c>
      <c r="AC521" s="4">
        <v>18</v>
      </c>
      <c r="AD521" s="4">
        <v>32</v>
      </c>
      <c r="AE521" s="4">
        <v>6</v>
      </c>
      <c r="AF521" s="4">
        <v>23</v>
      </c>
      <c r="AG521" s="4">
        <v>12</v>
      </c>
      <c r="AH521" s="4">
        <v>21</v>
      </c>
      <c r="AI521" s="4">
        <v>31</v>
      </c>
      <c r="AJ521" s="4">
        <v>26</v>
      </c>
      <c r="AK521" s="4">
        <v>0</v>
      </c>
      <c r="AL521" s="4">
        <v>0</v>
      </c>
    </row>
    <row r="522" spans="5:38" ht="16.149999999999999" thickBot="1" x14ac:dyDescent="0.55000000000000004">
      <c r="E522" s="101"/>
      <c r="F522" s="99"/>
      <c r="G522" s="4">
        <v>2</v>
      </c>
      <c r="H522" s="4">
        <v>1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4">
        <v>0</v>
      </c>
      <c r="S522" s="4">
        <v>0</v>
      </c>
      <c r="T522" s="4">
        <v>0</v>
      </c>
      <c r="U522" s="4">
        <v>0</v>
      </c>
      <c r="V522" s="4">
        <v>0</v>
      </c>
      <c r="W522" s="4">
        <v>0</v>
      </c>
      <c r="X522" s="4">
        <v>0</v>
      </c>
      <c r="Y522" s="4">
        <v>0</v>
      </c>
      <c r="Z522" s="4">
        <v>0</v>
      </c>
      <c r="AA522" s="4">
        <v>0</v>
      </c>
      <c r="AB522" s="4">
        <v>0</v>
      </c>
      <c r="AC522" s="4">
        <v>0</v>
      </c>
      <c r="AD522" s="4">
        <v>0</v>
      </c>
      <c r="AE522" s="4">
        <v>0</v>
      </c>
      <c r="AF522" s="4">
        <v>0</v>
      </c>
      <c r="AG522" s="4">
        <v>0</v>
      </c>
      <c r="AH522" s="4">
        <v>0</v>
      </c>
      <c r="AI522" s="4">
        <v>0</v>
      </c>
      <c r="AJ522" s="4">
        <v>0</v>
      </c>
      <c r="AK522" s="4">
        <v>0</v>
      </c>
      <c r="AL522" s="4">
        <v>0</v>
      </c>
    </row>
    <row r="523" spans="5:38" x14ac:dyDescent="0.5">
      <c r="E523" s="100">
        <v>4</v>
      </c>
      <c r="F523" s="98" t="s">
        <v>18</v>
      </c>
      <c r="G523" s="4">
        <v>3</v>
      </c>
      <c r="H523" s="4">
        <v>4</v>
      </c>
      <c r="I523" s="4">
        <v>5</v>
      </c>
      <c r="J523" s="4">
        <v>25</v>
      </c>
      <c r="K523" s="4">
        <v>7</v>
      </c>
      <c r="L523" s="4">
        <v>19</v>
      </c>
      <c r="M523" s="4">
        <v>27</v>
      </c>
      <c r="N523" s="4">
        <v>14</v>
      </c>
      <c r="O523" s="4">
        <v>11</v>
      </c>
      <c r="P523" s="4">
        <v>10</v>
      </c>
      <c r="Q523" s="4">
        <v>30</v>
      </c>
      <c r="R523" s="4">
        <v>15</v>
      </c>
      <c r="S523" s="4">
        <v>16</v>
      </c>
      <c r="T523" s="4">
        <v>29</v>
      </c>
      <c r="U523" s="4">
        <v>8</v>
      </c>
      <c r="V523" s="4">
        <v>24</v>
      </c>
      <c r="W523" s="4">
        <v>9</v>
      </c>
      <c r="X523" s="4">
        <v>17</v>
      </c>
      <c r="Y523" s="4">
        <v>28</v>
      </c>
      <c r="Z523" s="4">
        <v>20</v>
      </c>
      <c r="AA523" s="4">
        <v>22</v>
      </c>
      <c r="AB523" s="4">
        <v>13</v>
      </c>
      <c r="AC523" s="4">
        <v>18</v>
      </c>
      <c r="AD523" s="4">
        <v>32</v>
      </c>
      <c r="AE523" s="4">
        <v>6</v>
      </c>
      <c r="AF523" s="4">
        <v>23</v>
      </c>
      <c r="AG523" s="4">
        <v>12</v>
      </c>
      <c r="AH523" s="4">
        <v>21</v>
      </c>
      <c r="AI523" s="4">
        <v>31</v>
      </c>
      <c r="AJ523" s="4">
        <v>26</v>
      </c>
      <c r="AK523" s="4">
        <v>0</v>
      </c>
      <c r="AL523" s="4">
        <v>0</v>
      </c>
    </row>
    <row r="524" spans="5:38" ht="16.149999999999999" thickBot="1" x14ac:dyDescent="0.55000000000000004">
      <c r="E524" s="101"/>
      <c r="F524" s="99"/>
      <c r="G524" s="4">
        <v>2</v>
      </c>
      <c r="H524" s="4">
        <v>1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4">
        <v>0</v>
      </c>
      <c r="P524" s="4">
        <v>0</v>
      </c>
      <c r="Q524" s="4">
        <v>0</v>
      </c>
      <c r="R524" s="4">
        <v>0</v>
      </c>
      <c r="S524" s="4">
        <v>0</v>
      </c>
      <c r="T524" s="4">
        <v>0</v>
      </c>
      <c r="U524" s="4">
        <v>0</v>
      </c>
      <c r="V524" s="4">
        <v>0</v>
      </c>
      <c r="W524" s="4">
        <v>0</v>
      </c>
      <c r="X524" s="4">
        <v>0</v>
      </c>
      <c r="Y524" s="4">
        <v>0</v>
      </c>
      <c r="Z524" s="4">
        <v>0</v>
      </c>
      <c r="AA524" s="4">
        <v>0</v>
      </c>
      <c r="AB524" s="4">
        <v>0</v>
      </c>
      <c r="AC524" s="4">
        <v>0</v>
      </c>
      <c r="AD524" s="4">
        <v>0</v>
      </c>
      <c r="AE524" s="4">
        <v>0</v>
      </c>
      <c r="AF524" s="4">
        <v>0</v>
      </c>
      <c r="AG524" s="4">
        <v>0</v>
      </c>
      <c r="AH524" s="4">
        <v>0</v>
      </c>
      <c r="AI524" s="4">
        <v>0</v>
      </c>
      <c r="AJ524" s="4">
        <v>0</v>
      </c>
      <c r="AK524" s="4">
        <v>0</v>
      </c>
      <c r="AL524" s="4">
        <v>0</v>
      </c>
    </row>
    <row r="525" spans="5:38" x14ac:dyDescent="0.5">
      <c r="E525" s="100">
        <v>5</v>
      </c>
      <c r="F525" s="98" t="s">
        <v>13</v>
      </c>
      <c r="G525" s="4">
        <v>4</v>
      </c>
      <c r="H525" s="4">
        <v>5</v>
      </c>
      <c r="I525" s="4">
        <v>25</v>
      </c>
      <c r="J525" s="4">
        <v>7</v>
      </c>
      <c r="K525" s="4">
        <v>19</v>
      </c>
      <c r="L525" s="4">
        <v>27</v>
      </c>
      <c r="M525" s="4">
        <v>14</v>
      </c>
      <c r="N525" s="4">
        <v>11</v>
      </c>
      <c r="O525" s="4">
        <v>10</v>
      </c>
      <c r="P525" s="4">
        <v>30</v>
      </c>
      <c r="Q525" s="4">
        <v>15</v>
      </c>
      <c r="R525" s="4">
        <v>16</v>
      </c>
      <c r="S525" s="4">
        <v>29</v>
      </c>
      <c r="T525" s="4">
        <v>8</v>
      </c>
      <c r="U525" s="4">
        <v>24</v>
      </c>
      <c r="V525" s="4">
        <v>9</v>
      </c>
      <c r="W525" s="4">
        <v>17</v>
      </c>
      <c r="X525" s="4">
        <v>28</v>
      </c>
      <c r="Y525" s="4">
        <v>20</v>
      </c>
      <c r="Z525" s="4">
        <v>22</v>
      </c>
      <c r="AA525" s="4">
        <v>13</v>
      </c>
      <c r="AB525" s="4">
        <v>18</v>
      </c>
      <c r="AC525" s="4">
        <v>32</v>
      </c>
      <c r="AD525" s="4">
        <v>6</v>
      </c>
      <c r="AE525" s="4">
        <v>23</v>
      </c>
      <c r="AF525" s="4">
        <v>12</v>
      </c>
      <c r="AG525" s="4">
        <v>21</v>
      </c>
      <c r="AH525" s="4">
        <v>31</v>
      </c>
      <c r="AI525" s="4">
        <v>26</v>
      </c>
      <c r="AJ525" s="4">
        <v>0</v>
      </c>
      <c r="AK525" s="4">
        <v>0</v>
      </c>
      <c r="AL525" s="4">
        <v>0</v>
      </c>
    </row>
    <row r="526" spans="5:38" ht="16.149999999999999" thickBot="1" x14ac:dyDescent="0.55000000000000004">
      <c r="E526" s="101"/>
      <c r="F526" s="99"/>
      <c r="G526" s="4">
        <v>3</v>
      </c>
      <c r="H526" s="4">
        <v>2</v>
      </c>
      <c r="I526" s="4">
        <v>1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  <c r="P526" s="4">
        <v>0</v>
      </c>
      <c r="Q526" s="4">
        <v>0</v>
      </c>
      <c r="R526" s="4">
        <v>0</v>
      </c>
      <c r="S526" s="4">
        <v>0</v>
      </c>
      <c r="T526" s="4">
        <v>0</v>
      </c>
      <c r="U526" s="4">
        <v>0</v>
      </c>
      <c r="V526" s="4">
        <v>0</v>
      </c>
      <c r="W526" s="4">
        <v>0</v>
      </c>
      <c r="X526" s="4">
        <v>0</v>
      </c>
      <c r="Y526" s="4">
        <v>0</v>
      </c>
      <c r="Z526" s="4">
        <v>0</v>
      </c>
      <c r="AA526" s="4">
        <v>0</v>
      </c>
      <c r="AB526" s="4">
        <v>0</v>
      </c>
      <c r="AC526" s="4">
        <v>0</v>
      </c>
      <c r="AD526" s="4">
        <v>0</v>
      </c>
      <c r="AE526" s="4">
        <v>0</v>
      </c>
      <c r="AF526" s="4">
        <v>0</v>
      </c>
      <c r="AG526" s="4">
        <v>0</v>
      </c>
      <c r="AH526" s="4">
        <v>0</v>
      </c>
      <c r="AI526" s="4">
        <v>0</v>
      </c>
      <c r="AJ526" s="4">
        <v>0</v>
      </c>
      <c r="AK526" s="4">
        <v>0</v>
      </c>
      <c r="AL526" s="4">
        <v>0</v>
      </c>
    </row>
    <row r="527" spans="5:38" x14ac:dyDescent="0.5">
      <c r="E527" s="100">
        <v>6</v>
      </c>
      <c r="F527" s="98" t="s">
        <v>13</v>
      </c>
      <c r="G527" s="4">
        <v>5</v>
      </c>
      <c r="H527" s="4">
        <v>25</v>
      </c>
      <c r="I527" s="4">
        <v>7</v>
      </c>
      <c r="J527" s="4">
        <v>19</v>
      </c>
      <c r="K527" s="4">
        <v>27</v>
      </c>
      <c r="L527" s="4">
        <v>14</v>
      </c>
      <c r="M527" s="4">
        <v>11</v>
      </c>
      <c r="N527" s="4">
        <v>10</v>
      </c>
      <c r="O527" s="4">
        <v>30</v>
      </c>
      <c r="P527" s="4">
        <v>15</v>
      </c>
      <c r="Q527" s="4">
        <v>16</v>
      </c>
      <c r="R527" s="4">
        <v>29</v>
      </c>
      <c r="S527" s="4">
        <v>8</v>
      </c>
      <c r="T527" s="4">
        <v>24</v>
      </c>
      <c r="U527" s="4">
        <v>9</v>
      </c>
      <c r="V527" s="4">
        <v>17</v>
      </c>
      <c r="W527" s="4">
        <v>28</v>
      </c>
      <c r="X527" s="4">
        <v>20</v>
      </c>
      <c r="Y527" s="4">
        <v>22</v>
      </c>
      <c r="Z527" s="4">
        <v>13</v>
      </c>
      <c r="AA527" s="4">
        <v>18</v>
      </c>
      <c r="AB527" s="4">
        <v>32</v>
      </c>
      <c r="AC527" s="4">
        <v>6</v>
      </c>
      <c r="AD527" s="4">
        <v>23</v>
      </c>
      <c r="AE527" s="4">
        <v>12</v>
      </c>
      <c r="AF527" s="4">
        <v>21</v>
      </c>
      <c r="AG527" s="4">
        <v>31</v>
      </c>
      <c r="AH527" s="4">
        <v>26</v>
      </c>
      <c r="AI527" s="4">
        <v>0</v>
      </c>
      <c r="AJ527" s="4">
        <v>0</v>
      </c>
      <c r="AK527" s="4">
        <v>0</v>
      </c>
      <c r="AL527" s="4">
        <v>0</v>
      </c>
    </row>
    <row r="528" spans="5:38" ht="16.149999999999999" thickBot="1" x14ac:dyDescent="0.55000000000000004">
      <c r="E528" s="101"/>
      <c r="F528" s="99"/>
      <c r="G528" s="4">
        <v>4</v>
      </c>
      <c r="H528" s="4">
        <v>3</v>
      </c>
      <c r="I528" s="4">
        <v>2</v>
      </c>
      <c r="J528" s="4">
        <v>1</v>
      </c>
      <c r="K528" s="4">
        <v>0</v>
      </c>
      <c r="L528" s="4">
        <v>0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4">
        <v>0</v>
      </c>
      <c r="S528" s="4">
        <v>0</v>
      </c>
      <c r="T528" s="4">
        <v>0</v>
      </c>
      <c r="U528" s="4">
        <v>0</v>
      </c>
      <c r="V528" s="4">
        <v>0</v>
      </c>
      <c r="W528" s="4">
        <v>0</v>
      </c>
      <c r="X528" s="4">
        <v>0</v>
      </c>
      <c r="Y528" s="4">
        <v>0</v>
      </c>
      <c r="Z528" s="4">
        <v>0</v>
      </c>
      <c r="AA528" s="4">
        <v>0</v>
      </c>
      <c r="AB528" s="4">
        <v>0</v>
      </c>
      <c r="AC528" s="4">
        <v>0</v>
      </c>
      <c r="AD528" s="4">
        <v>0</v>
      </c>
      <c r="AE528" s="4">
        <v>0</v>
      </c>
      <c r="AF528" s="4">
        <v>0</v>
      </c>
      <c r="AG528" s="4">
        <v>0</v>
      </c>
      <c r="AH528" s="4">
        <v>0</v>
      </c>
      <c r="AI528" s="4">
        <v>0</v>
      </c>
      <c r="AJ528" s="4">
        <v>0</v>
      </c>
      <c r="AK528" s="4">
        <v>0</v>
      </c>
      <c r="AL528" s="4">
        <v>0</v>
      </c>
    </row>
    <row r="529" spans="5:38" x14ac:dyDescent="0.5">
      <c r="E529" s="100">
        <v>7</v>
      </c>
      <c r="F529" s="98" t="s">
        <v>13</v>
      </c>
      <c r="G529" s="4">
        <v>25</v>
      </c>
      <c r="H529" s="4">
        <v>7</v>
      </c>
      <c r="I529" s="4">
        <v>19</v>
      </c>
      <c r="J529" s="4">
        <v>27</v>
      </c>
      <c r="K529" s="4">
        <v>14</v>
      </c>
      <c r="L529" s="4">
        <v>11</v>
      </c>
      <c r="M529" s="4">
        <v>10</v>
      </c>
      <c r="N529" s="4">
        <v>30</v>
      </c>
      <c r="O529" s="4">
        <v>15</v>
      </c>
      <c r="P529" s="4">
        <v>16</v>
      </c>
      <c r="Q529" s="4">
        <v>29</v>
      </c>
      <c r="R529" s="4">
        <v>8</v>
      </c>
      <c r="S529" s="4">
        <v>24</v>
      </c>
      <c r="T529" s="4">
        <v>9</v>
      </c>
      <c r="U529" s="4">
        <v>17</v>
      </c>
      <c r="V529" s="4">
        <v>28</v>
      </c>
      <c r="W529" s="4">
        <v>20</v>
      </c>
      <c r="X529" s="4">
        <v>22</v>
      </c>
      <c r="Y529" s="4">
        <v>13</v>
      </c>
      <c r="Z529" s="4">
        <v>18</v>
      </c>
      <c r="AA529" s="4">
        <v>32</v>
      </c>
      <c r="AB529" s="4">
        <v>6</v>
      </c>
      <c r="AC529" s="4">
        <v>23</v>
      </c>
      <c r="AD529" s="4">
        <v>12</v>
      </c>
      <c r="AE529" s="4">
        <v>21</v>
      </c>
      <c r="AF529" s="4">
        <v>31</v>
      </c>
      <c r="AG529" s="4">
        <v>26</v>
      </c>
      <c r="AH529" s="4">
        <v>0</v>
      </c>
      <c r="AI529" s="4">
        <v>0</v>
      </c>
      <c r="AJ529" s="4">
        <v>0</v>
      </c>
      <c r="AK529" s="4">
        <v>0</v>
      </c>
      <c r="AL529" s="4">
        <v>0</v>
      </c>
    </row>
    <row r="530" spans="5:38" ht="16.149999999999999" thickBot="1" x14ac:dyDescent="0.55000000000000004">
      <c r="E530" s="101"/>
      <c r="F530" s="99"/>
      <c r="G530" s="4">
        <v>5</v>
      </c>
      <c r="H530" s="4">
        <v>4</v>
      </c>
      <c r="I530" s="4">
        <v>3</v>
      </c>
      <c r="J530" s="4">
        <v>2</v>
      </c>
      <c r="K530" s="4">
        <v>1</v>
      </c>
      <c r="L530" s="4">
        <v>0</v>
      </c>
      <c r="M530" s="4">
        <v>0</v>
      </c>
      <c r="N530" s="4">
        <v>0</v>
      </c>
      <c r="O530" s="4">
        <v>0</v>
      </c>
      <c r="P530" s="4">
        <v>0</v>
      </c>
      <c r="Q530" s="4">
        <v>0</v>
      </c>
      <c r="R530" s="4">
        <v>0</v>
      </c>
      <c r="S530" s="4">
        <v>0</v>
      </c>
      <c r="T530" s="4">
        <v>0</v>
      </c>
      <c r="U530" s="4">
        <v>0</v>
      </c>
      <c r="V530" s="4">
        <v>0</v>
      </c>
      <c r="W530" s="4">
        <v>0</v>
      </c>
      <c r="X530" s="4">
        <v>0</v>
      </c>
      <c r="Y530" s="4">
        <v>0</v>
      </c>
      <c r="Z530" s="4">
        <v>0</v>
      </c>
      <c r="AA530" s="4">
        <v>0</v>
      </c>
      <c r="AB530" s="4">
        <v>0</v>
      </c>
      <c r="AC530" s="4">
        <v>0</v>
      </c>
      <c r="AD530" s="4">
        <v>0</v>
      </c>
      <c r="AE530" s="4">
        <v>0</v>
      </c>
      <c r="AF530" s="4">
        <v>0</v>
      </c>
      <c r="AG530" s="4">
        <v>0</v>
      </c>
      <c r="AH530" s="4">
        <v>0</v>
      </c>
      <c r="AI530" s="4">
        <v>0</v>
      </c>
      <c r="AJ530" s="4">
        <v>0</v>
      </c>
      <c r="AK530" s="4">
        <v>0</v>
      </c>
      <c r="AL530" s="4">
        <v>0</v>
      </c>
    </row>
    <row r="532" spans="5:38" ht="16.149999999999999" thickBot="1" x14ac:dyDescent="0.55000000000000004"/>
    <row r="533" spans="5:38" x14ac:dyDescent="0.5">
      <c r="E533" s="100">
        <v>0</v>
      </c>
      <c r="F533" s="102" t="s">
        <v>11</v>
      </c>
      <c r="G533" s="4">
        <v>1</v>
      </c>
      <c r="H533" s="4">
        <v>5</v>
      </c>
      <c r="I533" s="4">
        <v>2</v>
      </c>
      <c r="J533" s="4">
        <v>3</v>
      </c>
      <c r="K533" s="4">
        <v>4</v>
      </c>
      <c r="L533" s="4">
        <v>25</v>
      </c>
      <c r="M533" s="4">
        <v>7</v>
      </c>
      <c r="N533" s="4">
        <v>19</v>
      </c>
      <c r="O533" s="4">
        <v>27</v>
      </c>
      <c r="P533" s="4">
        <v>14</v>
      </c>
      <c r="Q533" s="4">
        <v>11</v>
      </c>
      <c r="R533" s="4">
        <v>10</v>
      </c>
      <c r="S533" s="4">
        <v>30</v>
      </c>
      <c r="T533" s="4">
        <v>15</v>
      </c>
      <c r="U533" s="4">
        <v>16</v>
      </c>
      <c r="V533" s="4">
        <v>29</v>
      </c>
      <c r="W533" s="4">
        <v>8</v>
      </c>
      <c r="X533" s="4">
        <v>24</v>
      </c>
      <c r="Y533" s="4">
        <v>9</v>
      </c>
      <c r="Z533" s="4">
        <v>17</v>
      </c>
      <c r="AA533" s="4">
        <v>28</v>
      </c>
      <c r="AB533" s="4">
        <v>20</v>
      </c>
      <c r="AC533" s="4">
        <v>22</v>
      </c>
      <c r="AD533" s="4">
        <v>13</v>
      </c>
      <c r="AE533" s="4">
        <v>18</v>
      </c>
      <c r="AF533" s="4">
        <v>32</v>
      </c>
      <c r="AG533" s="4">
        <v>6</v>
      </c>
      <c r="AH533" s="4">
        <v>23</v>
      </c>
      <c r="AI533" s="4">
        <v>12</v>
      </c>
      <c r="AJ533" s="4">
        <v>21</v>
      </c>
      <c r="AK533" s="4">
        <v>31</v>
      </c>
      <c r="AL533" s="4">
        <v>26</v>
      </c>
    </row>
    <row r="534" spans="5:38" ht="16.149999999999999" thickBot="1" x14ac:dyDescent="0.55000000000000004">
      <c r="E534" s="101"/>
      <c r="F534" s="103"/>
      <c r="G534" s="4"/>
      <c r="H534" s="4"/>
      <c r="I534" s="4"/>
      <c r="J534" s="4"/>
      <c r="K534" s="4">
        <v>0</v>
      </c>
      <c r="L534" s="4">
        <v>0</v>
      </c>
      <c r="M534" s="4">
        <v>0</v>
      </c>
      <c r="N534" s="4">
        <v>0</v>
      </c>
      <c r="O534" s="4">
        <v>0</v>
      </c>
      <c r="P534" s="4">
        <v>0</v>
      </c>
      <c r="Q534" s="4">
        <v>0</v>
      </c>
      <c r="R534" s="4">
        <v>0</v>
      </c>
      <c r="S534" s="4">
        <v>0</v>
      </c>
      <c r="T534" s="4">
        <v>0</v>
      </c>
      <c r="U534" s="4">
        <v>0</v>
      </c>
      <c r="V534" s="4">
        <v>0</v>
      </c>
      <c r="W534" s="4">
        <v>0</v>
      </c>
      <c r="X534" s="4">
        <v>0</v>
      </c>
      <c r="Y534" s="4">
        <v>0</v>
      </c>
      <c r="Z534" s="4">
        <v>0</v>
      </c>
      <c r="AA534" s="4">
        <v>0</v>
      </c>
      <c r="AB534" s="4">
        <v>0</v>
      </c>
      <c r="AC534" s="4">
        <v>0</v>
      </c>
      <c r="AD534" s="4">
        <v>0</v>
      </c>
      <c r="AE534" s="4">
        <v>0</v>
      </c>
      <c r="AF534" s="4">
        <v>0</v>
      </c>
      <c r="AG534" s="4">
        <v>0</v>
      </c>
      <c r="AH534" s="4">
        <v>0</v>
      </c>
      <c r="AI534" s="4">
        <v>0</v>
      </c>
      <c r="AJ534" s="4">
        <v>0</v>
      </c>
      <c r="AK534" s="4">
        <v>0</v>
      </c>
      <c r="AL534" s="4">
        <v>0</v>
      </c>
    </row>
    <row r="535" spans="5:38" x14ac:dyDescent="0.5">
      <c r="E535" s="100">
        <v>1</v>
      </c>
      <c r="F535" s="98" t="s">
        <v>13</v>
      </c>
      <c r="G535" s="4">
        <v>5</v>
      </c>
      <c r="H535" s="4">
        <v>2</v>
      </c>
      <c r="I535" s="4">
        <v>3</v>
      </c>
      <c r="J535" s="4">
        <v>4</v>
      </c>
      <c r="K535" s="4">
        <v>25</v>
      </c>
      <c r="L535" s="4">
        <v>7</v>
      </c>
      <c r="M535" s="4">
        <v>19</v>
      </c>
      <c r="N535" s="4">
        <v>27</v>
      </c>
      <c r="O535" s="4">
        <v>14</v>
      </c>
      <c r="P535" s="4">
        <v>11</v>
      </c>
      <c r="Q535" s="4">
        <v>10</v>
      </c>
      <c r="R535" s="4">
        <v>30</v>
      </c>
      <c r="S535" s="4">
        <v>15</v>
      </c>
      <c r="T535" s="4">
        <v>16</v>
      </c>
      <c r="U535" s="4">
        <v>29</v>
      </c>
      <c r="V535" s="4">
        <v>8</v>
      </c>
      <c r="W535" s="4">
        <v>24</v>
      </c>
      <c r="X535" s="4">
        <v>9</v>
      </c>
      <c r="Y535" s="4">
        <v>17</v>
      </c>
      <c r="Z535" s="4">
        <v>28</v>
      </c>
      <c r="AA535" s="4">
        <v>20</v>
      </c>
      <c r="AB535" s="4">
        <v>22</v>
      </c>
      <c r="AC535" s="4">
        <v>13</v>
      </c>
      <c r="AD535" s="4">
        <v>18</v>
      </c>
      <c r="AE535" s="4">
        <v>32</v>
      </c>
      <c r="AF535" s="4">
        <v>6</v>
      </c>
      <c r="AG535" s="4">
        <v>23</v>
      </c>
      <c r="AH535" s="4">
        <v>12</v>
      </c>
      <c r="AI535" s="4">
        <v>21</v>
      </c>
      <c r="AJ535" s="4">
        <v>31</v>
      </c>
      <c r="AK535" s="4">
        <v>26</v>
      </c>
      <c r="AL535" s="4">
        <v>0</v>
      </c>
    </row>
    <row r="536" spans="5:38" ht="16.149999999999999" thickBot="1" x14ac:dyDescent="0.55000000000000004">
      <c r="E536" s="101"/>
      <c r="F536" s="99"/>
      <c r="G536" s="4">
        <v>1</v>
      </c>
      <c r="H536" s="4">
        <v>0</v>
      </c>
      <c r="I536" s="4">
        <v>0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4">
        <v>0</v>
      </c>
      <c r="P536" s="4">
        <v>0</v>
      </c>
      <c r="Q536" s="4">
        <v>0</v>
      </c>
      <c r="R536" s="4">
        <v>0</v>
      </c>
      <c r="S536" s="4">
        <v>0</v>
      </c>
      <c r="T536" s="4">
        <v>0</v>
      </c>
      <c r="U536" s="4">
        <v>0</v>
      </c>
      <c r="V536" s="4">
        <v>0</v>
      </c>
      <c r="W536" s="4">
        <v>0</v>
      </c>
      <c r="X536" s="4">
        <v>0</v>
      </c>
      <c r="Y536" s="4">
        <v>0</v>
      </c>
      <c r="Z536" s="4">
        <v>0</v>
      </c>
      <c r="AA536" s="4">
        <v>0</v>
      </c>
      <c r="AB536" s="4">
        <v>0</v>
      </c>
      <c r="AC536" s="4">
        <v>0</v>
      </c>
      <c r="AD536" s="4">
        <v>0</v>
      </c>
      <c r="AE536" s="4">
        <v>0</v>
      </c>
      <c r="AF536" s="4">
        <v>0</v>
      </c>
      <c r="AG536" s="4">
        <v>0</v>
      </c>
      <c r="AH536" s="4">
        <v>0</v>
      </c>
      <c r="AI536" s="4">
        <v>0</v>
      </c>
      <c r="AJ536" s="4">
        <v>0</v>
      </c>
      <c r="AK536" s="4">
        <v>0</v>
      </c>
      <c r="AL536" s="4">
        <v>0</v>
      </c>
    </row>
    <row r="537" spans="5:38" x14ac:dyDescent="0.5">
      <c r="E537" s="100">
        <v>2</v>
      </c>
      <c r="F537" s="98" t="s">
        <v>13</v>
      </c>
      <c r="G537" s="4">
        <v>2</v>
      </c>
      <c r="H537" s="4">
        <v>3</v>
      </c>
      <c r="I537" s="4">
        <v>4</v>
      </c>
      <c r="J537" s="4">
        <v>25</v>
      </c>
      <c r="K537" s="4">
        <v>7</v>
      </c>
      <c r="L537" s="4">
        <v>19</v>
      </c>
      <c r="M537" s="4">
        <v>27</v>
      </c>
      <c r="N537" s="4">
        <v>14</v>
      </c>
      <c r="O537" s="4">
        <v>11</v>
      </c>
      <c r="P537" s="4">
        <v>10</v>
      </c>
      <c r="Q537" s="4">
        <v>30</v>
      </c>
      <c r="R537" s="4">
        <v>15</v>
      </c>
      <c r="S537" s="4">
        <v>16</v>
      </c>
      <c r="T537" s="4">
        <v>29</v>
      </c>
      <c r="U537" s="4">
        <v>8</v>
      </c>
      <c r="V537" s="4">
        <v>24</v>
      </c>
      <c r="W537" s="4">
        <v>9</v>
      </c>
      <c r="X537" s="4">
        <v>17</v>
      </c>
      <c r="Y537" s="4">
        <v>28</v>
      </c>
      <c r="Z537" s="4">
        <v>20</v>
      </c>
      <c r="AA537" s="4">
        <v>22</v>
      </c>
      <c r="AB537" s="4">
        <v>13</v>
      </c>
      <c r="AC537" s="4">
        <v>18</v>
      </c>
      <c r="AD537" s="4">
        <v>32</v>
      </c>
      <c r="AE537" s="4">
        <v>6</v>
      </c>
      <c r="AF537" s="4">
        <v>23</v>
      </c>
      <c r="AG537" s="4">
        <v>12</v>
      </c>
      <c r="AH537" s="4">
        <v>21</v>
      </c>
      <c r="AI537" s="4">
        <v>31</v>
      </c>
      <c r="AJ537" s="4">
        <v>26</v>
      </c>
      <c r="AK537" s="4">
        <v>0</v>
      </c>
      <c r="AL537" s="4">
        <v>0</v>
      </c>
    </row>
    <row r="538" spans="5:38" ht="16.149999999999999" thickBot="1" x14ac:dyDescent="0.55000000000000004">
      <c r="E538" s="101"/>
      <c r="F538" s="99"/>
      <c r="G538" s="4">
        <v>5</v>
      </c>
      <c r="H538" s="4">
        <v>1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4">
        <v>0</v>
      </c>
      <c r="P538" s="4">
        <v>0</v>
      </c>
      <c r="Q538" s="4">
        <v>0</v>
      </c>
      <c r="R538" s="4">
        <v>0</v>
      </c>
      <c r="S538" s="4">
        <v>0</v>
      </c>
      <c r="T538" s="4">
        <v>0</v>
      </c>
      <c r="U538" s="4">
        <v>0</v>
      </c>
      <c r="V538" s="4">
        <v>0</v>
      </c>
      <c r="W538" s="4">
        <v>0</v>
      </c>
      <c r="X538" s="4">
        <v>0</v>
      </c>
      <c r="Y538" s="4">
        <v>0</v>
      </c>
      <c r="Z538" s="4">
        <v>0</v>
      </c>
      <c r="AA538" s="4">
        <v>0</v>
      </c>
      <c r="AB538" s="4">
        <v>0</v>
      </c>
      <c r="AC538" s="4">
        <v>0</v>
      </c>
      <c r="AD538" s="4">
        <v>0</v>
      </c>
      <c r="AE538" s="4">
        <v>0</v>
      </c>
      <c r="AF538" s="4">
        <v>0</v>
      </c>
      <c r="AG538" s="4">
        <v>0</v>
      </c>
      <c r="AH538" s="4">
        <v>0</v>
      </c>
      <c r="AI538" s="4">
        <v>0</v>
      </c>
      <c r="AJ538" s="4">
        <v>0</v>
      </c>
      <c r="AK538" s="4">
        <v>0</v>
      </c>
      <c r="AL538" s="4">
        <v>0</v>
      </c>
    </row>
    <row r="539" spans="5:38" x14ac:dyDescent="0.5">
      <c r="E539" s="100">
        <v>3</v>
      </c>
      <c r="F539" s="98" t="s">
        <v>17</v>
      </c>
      <c r="G539" s="4">
        <v>2</v>
      </c>
      <c r="H539" s="4">
        <v>3</v>
      </c>
      <c r="I539" s="4">
        <v>4</v>
      </c>
      <c r="J539" s="4">
        <v>25</v>
      </c>
      <c r="K539" s="4">
        <v>7</v>
      </c>
      <c r="L539" s="4">
        <v>19</v>
      </c>
      <c r="M539" s="4">
        <v>27</v>
      </c>
      <c r="N539" s="4">
        <v>14</v>
      </c>
      <c r="O539" s="4">
        <v>11</v>
      </c>
      <c r="P539" s="4">
        <v>10</v>
      </c>
      <c r="Q539" s="4">
        <v>30</v>
      </c>
      <c r="R539" s="4">
        <v>15</v>
      </c>
      <c r="S539" s="4">
        <v>16</v>
      </c>
      <c r="T539" s="4">
        <v>29</v>
      </c>
      <c r="U539" s="4">
        <v>8</v>
      </c>
      <c r="V539" s="4">
        <v>24</v>
      </c>
      <c r="W539" s="4">
        <v>9</v>
      </c>
      <c r="X539" s="4">
        <v>17</v>
      </c>
      <c r="Y539" s="4">
        <v>28</v>
      </c>
      <c r="Z539" s="4">
        <v>20</v>
      </c>
      <c r="AA539" s="4">
        <v>22</v>
      </c>
      <c r="AB539" s="4">
        <v>13</v>
      </c>
      <c r="AC539" s="4">
        <v>18</v>
      </c>
      <c r="AD539" s="4">
        <v>32</v>
      </c>
      <c r="AE539" s="4">
        <v>6</v>
      </c>
      <c r="AF539" s="4">
        <v>23</v>
      </c>
      <c r="AG539" s="4">
        <v>12</v>
      </c>
      <c r="AH539" s="4">
        <v>21</v>
      </c>
      <c r="AI539" s="4">
        <v>31</v>
      </c>
      <c r="AJ539" s="4">
        <v>26</v>
      </c>
      <c r="AK539" s="4">
        <v>0</v>
      </c>
      <c r="AL539" s="4">
        <v>0</v>
      </c>
    </row>
    <row r="540" spans="5:38" ht="16.149999999999999" thickBot="1" x14ac:dyDescent="0.55000000000000004">
      <c r="E540" s="101"/>
      <c r="F540" s="99"/>
      <c r="G540" s="4">
        <v>1</v>
      </c>
      <c r="H540" s="4">
        <v>5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0</v>
      </c>
      <c r="P540" s="4">
        <v>0</v>
      </c>
      <c r="Q540" s="4">
        <v>0</v>
      </c>
      <c r="R540" s="4">
        <v>0</v>
      </c>
      <c r="S540" s="4">
        <v>0</v>
      </c>
      <c r="T540" s="4">
        <v>0</v>
      </c>
      <c r="U540" s="4">
        <v>0</v>
      </c>
      <c r="V540" s="4">
        <v>0</v>
      </c>
      <c r="W540" s="4">
        <v>0</v>
      </c>
      <c r="X540" s="4">
        <v>0</v>
      </c>
      <c r="Y540" s="4">
        <v>0</v>
      </c>
      <c r="Z540" s="4">
        <v>0</v>
      </c>
      <c r="AA540" s="4">
        <v>0</v>
      </c>
      <c r="AB540" s="4">
        <v>0</v>
      </c>
      <c r="AC540" s="4">
        <v>0</v>
      </c>
      <c r="AD540" s="4">
        <v>0</v>
      </c>
      <c r="AE540" s="4">
        <v>0</v>
      </c>
      <c r="AF540" s="4">
        <v>0</v>
      </c>
      <c r="AG540" s="4">
        <v>0</v>
      </c>
      <c r="AH540" s="4">
        <v>0</v>
      </c>
      <c r="AI540" s="4">
        <v>0</v>
      </c>
      <c r="AJ540" s="4">
        <v>0</v>
      </c>
      <c r="AK540" s="4">
        <v>0</v>
      </c>
      <c r="AL540" s="4">
        <v>0</v>
      </c>
    </row>
    <row r="541" spans="5:38" x14ac:dyDescent="0.5">
      <c r="E541" s="100">
        <v>4</v>
      </c>
      <c r="F541" s="98" t="s">
        <v>13</v>
      </c>
      <c r="G541" s="4">
        <v>3</v>
      </c>
      <c r="H541" s="4">
        <v>4</v>
      </c>
      <c r="I541" s="4">
        <v>25</v>
      </c>
      <c r="J541" s="4">
        <v>7</v>
      </c>
      <c r="K541" s="4">
        <v>19</v>
      </c>
      <c r="L541" s="4">
        <v>27</v>
      </c>
      <c r="M541" s="4">
        <v>14</v>
      </c>
      <c r="N541" s="4">
        <v>11</v>
      </c>
      <c r="O541" s="4">
        <v>10</v>
      </c>
      <c r="P541" s="4">
        <v>30</v>
      </c>
      <c r="Q541" s="4">
        <v>15</v>
      </c>
      <c r="R541" s="4">
        <v>16</v>
      </c>
      <c r="S541" s="4">
        <v>29</v>
      </c>
      <c r="T541" s="4">
        <v>8</v>
      </c>
      <c r="U541" s="4">
        <v>24</v>
      </c>
      <c r="V541" s="4">
        <v>9</v>
      </c>
      <c r="W541" s="4">
        <v>17</v>
      </c>
      <c r="X541" s="4">
        <v>28</v>
      </c>
      <c r="Y541" s="4">
        <v>20</v>
      </c>
      <c r="Z541" s="4">
        <v>22</v>
      </c>
      <c r="AA541" s="4">
        <v>13</v>
      </c>
      <c r="AB541" s="4">
        <v>18</v>
      </c>
      <c r="AC541" s="4">
        <v>32</v>
      </c>
      <c r="AD541" s="4">
        <v>6</v>
      </c>
      <c r="AE541" s="4">
        <v>23</v>
      </c>
      <c r="AF541" s="4">
        <v>12</v>
      </c>
      <c r="AG541" s="4">
        <v>21</v>
      </c>
      <c r="AH541" s="4">
        <v>31</v>
      </c>
      <c r="AI541" s="4">
        <v>26</v>
      </c>
      <c r="AJ541" s="4">
        <v>0</v>
      </c>
      <c r="AK541" s="4">
        <v>0</v>
      </c>
      <c r="AL541" s="4">
        <v>0</v>
      </c>
    </row>
    <row r="542" spans="5:38" ht="16.149999999999999" thickBot="1" x14ac:dyDescent="0.55000000000000004">
      <c r="E542" s="101"/>
      <c r="F542" s="99"/>
      <c r="G542" s="4">
        <v>2</v>
      </c>
      <c r="H542" s="4">
        <v>1</v>
      </c>
      <c r="I542" s="4">
        <v>5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4">
        <v>0</v>
      </c>
      <c r="S542" s="4">
        <v>0</v>
      </c>
      <c r="T542" s="4">
        <v>0</v>
      </c>
      <c r="U542" s="4">
        <v>0</v>
      </c>
      <c r="V542" s="4">
        <v>0</v>
      </c>
      <c r="W542" s="4">
        <v>0</v>
      </c>
      <c r="X542" s="4">
        <v>0</v>
      </c>
      <c r="Y542" s="4">
        <v>0</v>
      </c>
      <c r="Z542" s="4">
        <v>0</v>
      </c>
      <c r="AA542" s="4">
        <v>0</v>
      </c>
      <c r="AB542" s="4">
        <v>0</v>
      </c>
      <c r="AC542" s="4">
        <v>0</v>
      </c>
      <c r="AD542" s="4">
        <v>0</v>
      </c>
      <c r="AE542" s="4">
        <v>0</v>
      </c>
      <c r="AF542" s="4">
        <v>0</v>
      </c>
      <c r="AG542" s="4">
        <v>0</v>
      </c>
      <c r="AH542" s="4">
        <v>0</v>
      </c>
      <c r="AI542" s="4">
        <v>0</v>
      </c>
      <c r="AJ542" s="4">
        <v>0</v>
      </c>
      <c r="AK542" s="4">
        <v>0</v>
      </c>
      <c r="AL542" s="4">
        <v>0</v>
      </c>
    </row>
    <row r="543" spans="5:38" x14ac:dyDescent="0.5">
      <c r="E543" s="100">
        <v>5</v>
      </c>
      <c r="F543" s="98" t="s">
        <v>13</v>
      </c>
      <c r="G543" s="4">
        <v>4</v>
      </c>
      <c r="H543" s="4">
        <v>25</v>
      </c>
      <c r="I543" s="4">
        <v>7</v>
      </c>
      <c r="J543" s="4">
        <v>19</v>
      </c>
      <c r="K543" s="4">
        <v>27</v>
      </c>
      <c r="L543" s="4">
        <v>14</v>
      </c>
      <c r="M543" s="4">
        <v>11</v>
      </c>
      <c r="N543" s="4">
        <v>10</v>
      </c>
      <c r="O543" s="4">
        <v>30</v>
      </c>
      <c r="P543" s="4">
        <v>15</v>
      </c>
      <c r="Q543" s="4">
        <v>16</v>
      </c>
      <c r="R543" s="4">
        <v>29</v>
      </c>
      <c r="S543" s="4">
        <v>8</v>
      </c>
      <c r="T543" s="4">
        <v>24</v>
      </c>
      <c r="U543" s="4">
        <v>9</v>
      </c>
      <c r="V543" s="4">
        <v>17</v>
      </c>
      <c r="W543" s="4">
        <v>28</v>
      </c>
      <c r="X543" s="4">
        <v>20</v>
      </c>
      <c r="Y543" s="4">
        <v>22</v>
      </c>
      <c r="Z543" s="4">
        <v>13</v>
      </c>
      <c r="AA543" s="4">
        <v>18</v>
      </c>
      <c r="AB543" s="4">
        <v>32</v>
      </c>
      <c r="AC543" s="4">
        <v>6</v>
      </c>
      <c r="AD543" s="4">
        <v>23</v>
      </c>
      <c r="AE543" s="4">
        <v>12</v>
      </c>
      <c r="AF543" s="4">
        <v>21</v>
      </c>
      <c r="AG543" s="4">
        <v>31</v>
      </c>
      <c r="AH543" s="4">
        <v>26</v>
      </c>
      <c r="AI543" s="4">
        <v>0</v>
      </c>
      <c r="AJ543" s="4">
        <v>0</v>
      </c>
      <c r="AK543" s="4">
        <v>0</v>
      </c>
      <c r="AL543" s="4">
        <v>0</v>
      </c>
    </row>
    <row r="544" spans="5:38" ht="16.149999999999999" thickBot="1" x14ac:dyDescent="0.55000000000000004">
      <c r="E544" s="101"/>
      <c r="F544" s="99"/>
      <c r="G544" s="4">
        <v>3</v>
      </c>
      <c r="H544" s="4">
        <v>2</v>
      </c>
      <c r="I544" s="4">
        <v>1</v>
      </c>
      <c r="J544" s="4">
        <v>5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4">
        <v>0</v>
      </c>
      <c r="S544" s="4">
        <v>0</v>
      </c>
      <c r="T544" s="4">
        <v>0</v>
      </c>
      <c r="U544" s="4">
        <v>0</v>
      </c>
      <c r="V544" s="4">
        <v>0</v>
      </c>
      <c r="W544" s="4">
        <v>0</v>
      </c>
      <c r="X544" s="4">
        <v>0</v>
      </c>
      <c r="Y544" s="4">
        <v>0</v>
      </c>
      <c r="Z544" s="4">
        <v>0</v>
      </c>
      <c r="AA544" s="4">
        <v>0</v>
      </c>
      <c r="AB544" s="4">
        <v>0</v>
      </c>
      <c r="AC544" s="4">
        <v>0</v>
      </c>
      <c r="AD544" s="4">
        <v>0</v>
      </c>
      <c r="AE544" s="4">
        <v>0</v>
      </c>
      <c r="AF544" s="4">
        <v>0</v>
      </c>
      <c r="AG544" s="4">
        <v>0</v>
      </c>
      <c r="AH544" s="4">
        <v>0</v>
      </c>
      <c r="AI544" s="4">
        <v>0</v>
      </c>
      <c r="AJ544" s="4">
        <v>0</v>
      </c>
      <c r="AK544" s="4">
        <v>0</v>
      </c>
      <c r="AL544" s="4">
        <v>0</v>
      </c>
    </row>
    <row r="545" spans="5:38" x14ac:dyDescent="0.5">
      <c r="E545" s="100">
        <v>6</v>
      </c>
      <c r="F545" s="98" t="s">
        <v>13</v>
      </c>
      <c r="G545" s="4">
        <v>25</v>
      </c>
      <c r="H545" s="4">
        <v>7</v>
      </c>
      <c r="I545" s="4">
        <v>19</v>
      </c>
      <c r="J545" s="4">
        <v>27</v>
      </c>
      <c r="K545" s="4">
        <v>14</v>
      </c>
      <c r="L545" s="4">
        <v>11</v>
      </c>
      <c r="M545" s="4">
        <v>10</v>
      </c>
      <c r="N545" s="4">
        <v>30</v>
      </c>
      <c r="O545" s="4">
        <v>15</v>
      </c>
      <c r="P545" s="4">
        <v>16</v>
      </c>
      <c r="Q545" s="4">
        <v>29</v>
      </c>
      <c r="R545" s="4">
        <v>8</v>
      </c>
      <c r="S545" s="4">
        <v>24</v>
      </c>
      <c r="T545" s="4">
        <v>9</v>
      </c>
      <c r="U545" s="4">
        <v>17</v>
      </c>
      <c r="V545" s="4">
        <v>28</v>
      </c>
      <c r="W545" s="4">
        <v>20</v>
      </c>
      <c r="X545" s="4">
        <v>22</v>
      </c>
      <c r="Y545" s="4">
        <v>13</v>
      </c>
      <c r="Z545" s="4">
        <v>18</v>
      </c>
      <c r="AA545" s="4">
        <v>32</v>
      </c>
      <c r="AB545" s="4">
        <v>6</v>
      </c>
      <c r="AC545" s="4">
        <v>23</v>
      </c>
      <c r="AD545" s="4">
        <v>12</v>
      </c>
      <c r="AE545" s="4">
        <v>21</v>
      </c>
      <c r="AF545" s="4">
        <v>31</v>
      </c>
      <c r="AG545" s="4">
        <v>26</v>
      </c>
      <c r="AH545" s="4">
        <v>0</v>
      </c>
      <c r="AI545" s="4">
        <v>0</v>
      </c>
      <c r="AJ545" s="4">
        <v>0</v>
      </c>
      <c r="AK545" s="4">
        <v>0</v>
      </c>
      <c r="AL545" s="4">
        <v>0</v>
      </c>
    </row>
    <row r="546" spans="5:38" ht="16.149999999999999" thickBot="1" x14ac:dyDescent="0.55000000000000004">
      <c r="E546" s="101"/>
      <c r="F546" s="99"/>
      <c r="G546" s="4">
        <v>4</v>
      </c>
      <c r="H546" s="4">
        <v>3</v>
      </c>
      <c r="I546" s="4">
        <v>2</v>
      </c>
      <c r="J546" s="4">
        <v>1</v>
      </c>
      <c r="K546" s="4">
        <v>5</v>
      </c>
      <c r="L546" s="4">
        <v>0</v>
      </c>
      <c r="M546" s="4">
        <v>0</v>
      </c>
      <c r="N546" s="4">
        <v>0</v>
      </c>
      <c r="O546" s="4">
        <v>0</v>
      </c>
      <c r="P546" s="4">
        <v>0</v>
      </c>
      <c r="Q546" s="4">
        <v>0</v>
      </c>
      <c r="R546" s="4">
        <v>0</v>
      </c>
      <c r="S546" s="4">
        <v>0</v>
      </c>
      <c r="T546" s="4">
        <v>0</v>
      </c>
      <c r="U546" s="4">
        <v>0</v>
      </c>
      <c r="V546" s="4">
        <v>0</v>
      </c>
      <c r="W546" s="4">
        <v>0</v>
      </c>
      <c r="X546" s="4">
        <v>0</v>
      </c>
      <c r="Y546" s="4">
        <v>0</v>
      </c>
      <c r="Z546" s="4">
        <v>0</v>
      </c>
      <c r="AA546" s="4">
        <v>0</v>
      </c>
      <c r="AB546" s="4">
        <v>0</v>
      </c>
      <c r="AC546" s="4">
        <v>0</v>
      </c>
      <c r="AD546" s="4">
        <v>0</v>
      </c>
      <c r="AE546" s="4">
        <v>0</v>
      </c>
      <c r="AF546" s="4">
        <v>0</v>
      </c>
      <c r="AG546" s="4">
        <v>0</v>
      </c>
      <c r="AH546" s="4">
        <v>0</v>
      </c>
      <c r="AI546" s="4">
        <v>0</v>
      </c>
      <c r="AJ546" s="4">
        <v>0</v>
      </c>
      <c r="AK546" s="4">
        <v>0</v>
      </c>
      <c r="AL546" s="4">
        <v>0</v>
      </c>
    </row>
    <row r="548" spans="5:38" ht="16.149999999999999" thickBot="1" x14ac:dyDescent="0.55000000000000004"/>
    <row r="549" spans="5:38" x14ac:dyDescent="0.5">
      <c r="E549" s="100">
        <v>0</v>
      </c>
      <c r="F549" s="102" t="s">
        <v>11</v>
      </c>
      <c r="G549" s="4">
        <v>1</v>
      </c>
      <c r="H549" s="4">
        <v>4</v>
      </c>
      <c r="I549" s="4">
        <v>2</v>
      </c>
      <c r="J549" s="4">
        <v>5</v>
      </c>
      <c r="K549" s="4">
        <v>3</v>
      </c>
      <c r="L549" s="4">
        <v>25</v>
      </c>
      <c r="M549" s="4">
        <v>7</v>
      </c>
      <c r="N549" s="4">
        <v>19</v>
      </c>
      <c r="O549" s="4">
        <v>27</v>
      </c>
      <c r="P549" s="4">
        <v>14</v>
      </c>
      <c r="Q549" s="4">
        <v>11</v>
      </c>
      <c r="R549" s="4">
        <v>10</v>
      </c>
      <c r="S549" s="4">
        <v>30</v>
      </c>
      <c r="T549" s="4">
        <v>15</v>
      </c>
      <c r="U549" s="4">
        <v>16</v>
      </c>
      <c r="V549" s="4">
        <v>29</v>
      </c>
      <c r="W549" s="4">
        <v>8</v>
      </c>
      <c r="X549" s="4">
        <v>24</v>
      </c>
      <c r="Y549" s="4">
        <v>9</v>
      </c>
      <c r="Z549" s="4">
        <v>17</v>
      </c>
      <c r="AA549" s="4">
        <v>28</v>
      </c>
      <c r="AB549" s="4">
        <v>20</v>
      </c>
      <c r="AC549" s="4">
        <v>22</v>
      </c>
      <c r="AD549" s="4">
        <v>13</v>
      </c>
      <c r="AE549" s="4">
        <v>18</v>
      </c>
      <c r="AF549" s="4">
        <v>32</v>
      </c>
      <c r="AG549" s="4">
        <v>6</v>
      </c>
      <c r="AH549" s="4">
        <v>23</v>
      </c>
      <c r="AI549" s="4">
        <v>12</v>
      </c>
      <c r="AJ549" s="4">
        <v>21</v>
      </c>
      <c r="AK549" s="4">
        <v>31</v>
      </c>
      <c r="AL549" s="4">
        <v>26</v>
      </c>
    </row>
    <row r="550" spans="5:38" ht="16.149999999999999" thickBot="1" x14ac:dyDescent="0.55000000000000004">
      <c r="E550" s="101"/>
      <c r="F550" s="103"/>
      <c r="G550" s="4"/>
      <c r="H550" s="4"/>
      <c r="I550" s="4"/>
      <c r="J550" s="4"/>
      <c r="K550" s="4">
        <v>0</v>
      </c>
      <c r="L550" s="4">
        <v>0</v>
      </c>
      <c r="M550" s="4">
        <v>0</v>
      </c>
      <c r="N550" s="4">
        <v>0</v>
      </c>
      <c r="O550" s="4">
        <v>0</v>
      </c>
      <c r="P550" s="4">
        <v>0</v>
      </c>
      <c r="Q550" s="4">
        <v>0</v>
      </c>
      <c r="R550" s="4">
        <v>0</v>
      </c>
      <c r="S550" s="4">
        <v>0</v>
      </c>
      <c r="T550" s="4">
        <v>0</v>
      </c>
      <c r="U550" s="4">
        <v>0</v>
      </c>
      <c r="V550" s="4">
        <v>0</v>
      </c>
      <c r="W550" s="4">
        <v>0</v>
      </c>
      <c r="X550" s="4">
        <v>0</v>
      </c>
      <c r="Y550" s="4">
        <v>0</v>
      </c>
      <c r="Z550" s="4">
        <v>0</v>
      </c>
      <c r="AA550" s="4">
        <v>0</v>
      </c>
      <c r="AB550" s="4">
        <v>0</v>
      </c>
      <c r="AC550" s="4">
        <v>0</v>
      </c>
      <c r="AD550" s="4">
        <v>0</v>
      </c>
      <c r="AE550" s="4">
        <v>0</v>
      </c>
      <c r="AF550" s="4">
        <v>0</v>
      </c>
      <c r="AG550" s="4">
        <v>0</v>
      </c>
      <c r="AH550" s="4">
        <v>0</v>
      </c>
      <c r="AI550" s="4">
        <v>0</v>
      </c>
      <c r="AJ550" s="4">
        <v>0</v>
      </c>
      <c r="AK550" s="4">
        <v>0</v>
      </c>
      <c r="AL550" s="4">
        <v>0</v>
      </c>
    </row>
    <row r="551" spans="5:38" x14ac:dyDescent="0.5">
      <c r="E551" s="100">
        <v>1</v>
      </c>
      <c r="F551" s="98" t="s">
        <v>13</v>
      </c>
      <c r="G551" s="4">
        <v>4</v>
      </c>
      <c r="H551" s="4">
        <v>2</v>
      </c>
      <c r="I551" s="4">
        <v>5</v>
      </c>
      <c r="J551" s="4">
        <v>3</v>
      </c>
      <c r="K551" s="4">
        <v>25</v>
      </c>
      <c r="L551" s="4">
        <v>7</v>
      </c>
      <c r="M551" s="4">
        <v>19</v>
      </c>
      <c r="N551" s="4">
        <v>27</v>
      </c>
      <c r="O551" s="4">
        <v>14</v>
      </c>
      <c r="P551" s="4">
        <v>11</v>
      </c>
      <c r="Q551" s="4">
        <v>10</v>
      </c>
      <c r="R551" s="4">
        <v>30</v>
      </c>
      <c r="S551" s="4">
        <v>15</v>
      </c>
      <c r="T551" s="4">
        <v>16</v>
      </c>
      <c r="U551" s="4">
        <v>29</v>
      </c>
      <c r="V551" s="4">
        <v>8</v>
      </c>
      <c r="W551" s="4">
        <v>24</v>
      </c>
      <c r="X551" s="4">
        <v>9</v>
      </c>
      <c r="Y551" s="4">
        <v>17</v>
      </c>
      <c r="Z551" s="4">
        <v>28</v>
      </c>
      <c r="AA551" s="4">
        <v>20</v>
      </c>
      <c r="AB551" s="4">
        <v>22</v>
      </c>
      <c r="AC551" s="4">
        <v>13</v>
      </c>
      <c r="AD551" s="4">
        <v>18</v>
      </c>
      <c r="AE551" s="4">
        <v>32</v>
      </c>
      <c r="AF551" s="4">
        <v>6</v>
      </c>
      <c r="AG551" s="4">
        <v>23</v>
      </c>
      <c r="AH551" s="4">
        <v>12</v>
      </c>
      <c r="AI551" s="4">
        <v>21</v>
      </c>
      <c r="AJ551" s="4">
        <v>31</v>
      </c>
      <c r="AK551" s="4">
        <v>26</v>
      </c>
      <c r="AL551" s="4">
        <v>0</v>
      </c>
    </row>
    <row r="552" spans="5:38" ht="16.149999999999999" thickBot="1" x14ac:dyDescent="0.55000000000000004">
      <c r="E552" s="101"/>
      <c r="F552" s="99"/>
      <c r="G552" s="4">
        <v>1</v>
      </c>
      <c r="H552" s="4">
        <v>0</v>
      </c>
      <c r="I552" s="4">
        <v>0</v>
      </c>
      <c r="J552" s="4">
        <v>0</v>
      </c>
      <c r="K552" s="4">
        <v>0</v>
      </c>
      <c r="L552" s="4">
        <v>0</v>
      </c>
      <c r="M552" s="4">
        <v>0</v>
      </c>
      <c r="N552" s="4">
        <v>0</v>
      </c>
      <c r="O552" s="4">
        <v>0</v>
      </c>
      <c r="P552" s="4">
        <v>0</v>
      </c>
      <c r="Q552" s="4">
        <v>0</v>
      </c>
      <c r="R552" s="4">
        <v>0</v>
      </c>
      <c r="S552" s="4">
        <v>0</v>
      </c>
      <c r="T552" s="4">
        <v>0</v>
      </c>
      <c r="U552" s="4">
        <v>0</v>
      </c>
      <c r="V552" s="4">
        <v>0</v>
      </c>
      <c r="W552" s="4">
        <v>0</v>
      </c>
      <c r="X552" s="4">
        <v>0</v>
      </c>
      <c r="Y552" s="4">
        <v>0</v>
      </c>
      <c r="Z552" s="4">
        <v>0</v>
      </c>
      <c r="AA552" s="4">
        <v>0</v>
      </c>
      <c r="AB552" s="4">
        <v>0</v>
      </c>
      <c r="AC552" s="4">
        <v>0</v>
      </c>
      <c r="AD552" s="4">
        <v>0</v>
      </c>
      <c r="AE552" s="4">
        <v>0</v>
      </c>
      <c r="AF552" s="4">
        <v>0</v>
      </c>
      <c r="AG552" s="4">
        <v>0</v>
      </c>
      <c r="AH552" s="4">
        <v>0</v>
      </c>
      <c r="AI552" s="4">
        <v>0</v>
      </c>
      <c r="AJ552" s="4">
        <v>0</v>
      </c>
      <c r="AK552" s="4">
        <v>0</v>
      </c>
      <c r="AL552" s="4">
        <v>0</v>
      </c>
    </row>
    <row r="553" spans="5:38" x14ac:dyDescent="0.5">
      <c r="E553" s="100">
        <v>2</v>
      </c>
      <c r="F553" s="98" t="s">
        <v>18</v>
      </c>
      <c r="G553" s="4">
        <v>2</v>
      </c>
      <c r="H553" s="4">
        <v>4</v>
      </c>
      <c r="I553" s="4">
        <v>5</v>
      </c>
      <c r="J553" s="4">
        <v>3</v>
      </c>
      <c r="K553" s="4">
        <v>25</v>
      </c>
      <c r="L553" s="4">
        <v>7</v>
      </c>
      <c r="M553" s="4">
        <v>19</v>
      </c>
      <c r="N553" s="4">
        <v>27</v>
      </c>
      <c r="O553" s="4">
        <v>14</v>
      </c>
      <c r="P553" s="4">
        <v>11</v>
      </c>
      <c r="Q553" s="4">
        <v>10</v>
      </c>
      <c r="R553" s="4">
        <v>30</v>
      </c>
      <c r="S553" s="4">
        <v>15</v>
      </c>
      <c r="T553" s="4">
        <v>16</v>
      </c>
      <c r="U553" s="4">
        <v>29</v>
      </c>
      <c r="V553" s="4">
        <v>8</v>
      </c>
      <c r="W553" s="4">
        <v>24</v>
      </c>
      <c r="X553" s="4">
        <v>9</v>
      </c>
      <c r="Y553" s="4">
        <v>17</v>
      </c>
      <c r="Z553" s="4">
        <v>28</v>
      </c>
      <c r="AA553" s="4">
        <v>20</v>
      </c>
      <c r="AB553" s="4">
        <v>22</v>
      </c>
      <c r="AC553" s="4">
        <v>13</v>
      </c>
      <c r="AD553" s="4">
        <v>18</v>
      </c>
      <c r="AE553" s="4">
        <v>32</v>
      </c>
      <c r="AF553" s="4">
        <v>6</v>
      </c>
      <c r="AG553" s="4">
        <v>23</v>
      </c>
      <c r="AH553" s="4">
        <v>12</v>
      </c>
      <c r="AI553" s="4">
        <v>21</v>
      </c>
      <c r="AJ553" s="4">
        <v>31</v>
      </c>
      <c r="AK553" s="4">
        <v>26</v>
      </c>
      <c r="AL553" s="4">
        <v>0</v>
      </c>
    </row>
    <row r="554" spans="5:38" ht="16.149999999999999" thickBot="1" x14ac:dyDescent="0.55000000000000004">
      <c r="E554" s="101"/>
      <c r="F554" s="99"/>
      <c r="G554" s="4">
        <v>1</v>
      </c>
      <c r="H554" s="4">
        <v>0</v>
      </c>
      <c r="I554" s="4">
        <v>0</v>
      </c>
      <c r="J554" s="4">
        <v>0</v>
      </c>
      <c r="K554" s="4">
        <v>0</v>
      </c>
      <c r="L554" s="4">
        <v>0</v>
      </c>
      <c r="M554" s="4">
        <v>0</v>
      </c>
      <c r="N554" s="4">
        <v>0</v>
      </c>
      <c r="O554" s="4">
        <v>0</v>
      </c>
      <c r="P554" s="4">
        <v>0</v>
      </c>
      <c r="Q554" s="4">
        <v>0</v>
      </c>
      <c r="R554" s="4">
        <v>0</v>
      </c>
      <c r="S554" s="4">
        <v>0</v>
      </c>
      <c r="T554" s="4">
        <v>0</v>
      </c>
      <c r="U554" s="4">
        <v>0</v>
      </c>
      <c r="V554" s="4">
        <v>0</v>
      </c>
      <c r="W554" s="4">
        <v>0</v>
      </c>
      <c r="X554" s="4">
        <v>0</v>
      </c>
      <c r="Y554" s="4">
        <v>0</v>
      </c>
      <c r="Z554" s="4">
        <v>0</v>
      </c>
      <c r="AA554" s="4">
        <v>0</v>
      </c>
      <c r="AB554" s="4">
        <v>0</v>
      </c>
      <c r="AC554" s="4">
        <v>0</v>
      </c>
      <c r="AD554" s="4">
        <v>0</v>
      </c>
      <c r="AE554" s="4">
        <v>0</v>
      </c>
      <c r="AF554" s="4">
        <v>0</v>
      </c>
      <c r="AG554" s="4">
        <v>0</v>
      </c>
      <c r="AH554" s="4">
        <v>0</v>
      </c>
      <c r="AI554" s="4">
        <v>0</v>
      </c>
      <c r="AJ554" s="4">
        <v>0</v>
      </c>
      <c r="AK554" s="4">
        <v>0</v>
      </c>
      <c r="AL554" s="4">
        <v>0</v>
      </c>
    </row>
    <row r="555" spans="5:38" x14ac:dyDescent="0.5">
      <c r="E555" s="100">
        <v>3</v>
      </c>
      <c r="F555" s="98" t="s">
        <v>13</v>
      </c>
      <c r="G555" s="4">
        <v>4</v>
      </c>
      <c r="H555" s="4">
        <v>5</v>
      </c>
      <c r="I555" s="4">
        <v>3</v>
      </c>
      <c r="J555" s="4">
        <v>25</v>
      </c>
      <c r="K555" s="4">
        <v>7</v>
      </c>
      <c r="L555" s="4">
        <v>19</v>
      </c>
      <c r="M555" s="4">
        <v>27</v>
      </c>
      <c r="N555" s="4">
        <v>14</v>
      </c>
      <c r="O555" s="4">
        <v>11</v>
      </c>
      <c r="P555" s="4">
        <v>10</v>
      </c>
      <c r="Q555" s="4">
        <v>30</v>
      </c>
      <c r="R555" s="4">
        <v>15</v>
      </c>
      <c r="S555" s="4">
        <v>16</v>
      </c>
      <c r="T555" s="4">
        <v>29</v>
      </c>
      <c r="U555" s="4">
        <v>8</v>
      </c>
      <c r="V555" s="4">
        <v>24</v>
      </c>
      <c r="W555" s="4">
        <v>9</v>
      </c>
      <c r="X555" s="4">
        <v>17</v>
      </c>
      <c r="Y555" s="4">
        <v>28</v>
      </c>
      <c r="Z555" s="4">
        <v>20</v>
      </c>
      <c r="AA555" s="4">
        <v>22</v>
      </c>
      <c r="AB555" s="4">
        <v>13</v>
      </c>
      <c r="AC555" s="4">
        <v>18</v>
      </c>
      <c r="AD555" s="4">
        <v>32</v>
      </c>
      <c r="AE555" s="4">
        <v>6</v>
      </c>
      <c r="AF555" s="4">
        <v>23</v>
      </c>
      <c r="AG555" s="4">
        <v>12</v>
      </c>
      <c r="AH555" s="4">
        <v>21</v>
      </c>
      <c r="AI555" s="4">
        <v>31</v>
      </c>
      <c r="AJ555" s="4">
        <v>26</v>
      </c>
      <c r="AK555" s="4">
        <v>0</v>
      </c>
      <c r="AL555" s="4">
        <v>0</v>
      </c>
    </row>
    <row r="556" spans="5:38" ht="16.149999999999999" thickBot="1" x14ac:dyDescent="0.55000000000000004">
      <c r="E556" s="101"/>
      <c r="F556" s="99"/>
      <c r="G556" s="4">
        <v>2</v>
      </c>
      <c r="H556" s="4">
        <v>1</v>
      </c>
      <c r="I556" s="4">
        <v>0</v>
      </c>
      <c r="J556" s="4">
        <v>0</v>
      </c>
      <c r="K556" s="4">
        <v>0</v>
      </c>
      <c r="L556" s="4">
        <v>0</v>
      </c>
      <c r="M556" s="4">
        <v>0</v>
      </c>
      <c r="N556" s="4">
        <v>0</v>
      </c>
      <c r="O556" s="4">
        <v>0</v>
      </c>
      <c r="P556" s="4">
        <v>0</v>
      </c>
      <c r="Q556" s="4">
        <v>0</v>
      </c>
      <c r="R556" s="4">
        <v>0</v>
      </c>
      <c r="S556" s="4">
        <v>0</v>
      </c>
      <c r="T556" s="4">
        <v>0</v>
      </c>
      <c r="U556" s="4">
        <v>0</v>
      </c>
      <c r="V556" s="4">
        <v>0</v>
      </c>
      <c r="W556" s="4">
        <v>0</v>
      </c>
      <c r="X556" s="4">
        <v>0</v>
      </c>
      <c r="Y556" s="4">
        <v>0</v>
      </c>
      <c r="Z556" s="4">
        <v>0</v>
      </c>
      <c r="AA556" s="4">
        <v>0</v>
      </c>
      <c r="AB556" s="4">
        <v>0</v>
      </c>
      <c r="AC556" s="4">
        <v>0</v>
      </c>
      <c r="AD556" s="4">
        <v>0</v>
      </c>
      <c r="AE556" s="4">
        <v>0</v>
      </c>
      <c r="AF556" s="4">
        <v>0</v>
      </c>
      <c r="AG556" s="4">
        <v>0</v>
      </c>
      <c r="AH556" s="4">
        <v>0</v>
      </c>
      <c r="AI556" s="4">
        <v>0</v>
      </c>
      <c r="AJ556" s="4">
        <v>0</v>
      </c>
      <c r="AK556" s="4">
        <v>0</v>
      </c>
      <c r="AL556" s="4">
        <v>0</v>
      </c>
    </row>
    <row r="557" spans="5:38" x14ac:dyDescent="0.5">
      <c r="E557" s="100">
        <v>4</v>
      </c>
      <c r="F557" s="98" t="s">
        <v>13</v>
      </c>
      <c r="G557" s="4">
        <v>5</v>
      </c>
      <c r="H557" s="4">
        <v>3</v>
      </c>
      <c r="I557" s="4">
        <v>25</v>
      </c>
      <c r="J557" s="4">
        <v>7</v>
      </c>
      <c r="K557" s="4">
        <v>19</v>
      </c>
      <c r="L557" s="4">
        <v>27</v>
      </c>
      <c r="M557" s="4">
        <v>14</v>
      </c>
      <c r="N557" s="4">
        <v>11</v>
      </c>
      <c r="O557" s="4">
        <v>10</v>
      </c>
      <c r="P557" s="4">
        <v>30</v>
      </c>
      <c r="Q557" s="4">
        <v>15</v>
      </c>
      <c r="R557" s="4">
        <v>16</v>
      </c>
      <c r="S557" s="4">
        <v>29</v>
      </c>
      <c r="T557" s="4">
        <v>8</v>
      </c>
      <c r="U557" s="4">
        <v>24</v>
      </c>
      <c r="V557" s="4">
        <v>9</v>
      </c>
      <c r="W557" s="4">
        <v>17</v>
      </c>
      <c r="X557" s="4">
        <v>28</v>
      </c>
      <c r="Y557" s="4">
        <v>20</v>
      </c>
      <c r="Z557" s="4">
        <v>22</v>
      </c>
      <c r="AA557" s="4">
        <v>13</v>
      </c>
      <c r="AB557" s="4">
        <v>18</v>
      </c>
      <c r="AC557" s="4">
        <v>32</v>
      </c>
      <c r="AD557" s="4">
        <v>6</v>
      </c>
      <c r="AE557" s="4">
        <v>23</v>
      </c>
      <c r="AF557" s="4">
        <v>12</v>
      </c>
      <c r="AG557" s="4">
        <v>21</v>
      </c>
      <c r="AH557" s="4">
        <v>31</v>
      </c>
      <c r="AI557" s="4">
        <v>26</v>
      </c>
      <c r="AJ557" s="4">
        <v>0</v>
      </c>
      <c r="AK557" s="4">
        <v>0</v>
      </c>
      <c r="AL557" s="4">
        <v>0</v>
      </c>
    </row>
    <row r="558" spans="5:38" ht="16.149999999999999" thickBot="1" x14ac:dyDescent="0.55000000000000004">
      <c r="E558" s="101"/>
      <c r="F558" s="99"/>
      <c r="G558" s="4">
        <v>4</v>
      </c>
      <c r="H558" s="4">
        <v>2</v>
      </c>
      <c r="I558" s="4">
        <v>1</v>
      </c>
      <c r="J558" s="4">
        <v>0</v>
      </c>
      <c r="K558" s="4">
        <v>0</v>
      </c>
      <c r="L558" s="4">
        <v>0</v>
      </c>
      <c r="M558" s="4">
        <v>0</v>
      </c>
      <c r="N558" s="4">
        <v>0</v>
      </c>
      <c r="O558" s="4">
        <v>0</v>
      </c>
      <c r="P558" s="4">
        <v>0</v>
      </c>
      <c r="Q558" s="4">
        <v>0</v>
      </c>
      <c r="R558" s="4">
        <v>0</v>
      </c>
      <c r="S558" s="4">
        <v>0</v>
      </c>
      <c r="T558" s="4">
        <v>0</v>
      </c>
      <c r="U558" s="4">
        <v>0</v>
      </c>
      <c r="V558" s="4">
        <v>0</v>
      </c>
      <c r="W558" s="4">
        <v>0</v>
      </c>
      <c r="X558" s="4">
        <v>0</v>
      </c>
      <c r="Y558" s="4">
        <v>0</v>
      </c>
      <c r="Z558" s="4">
        <v>0</v>
      </c>
      <c r="AA558" s="4">
        <v>0</v>
      </c>
      <c r="AB558" s="4">
        <v>0</v>
      </c>
      <c r="AC558" s="4">
        <v>0</v>
      </c>
      <c r="AD558" s="4">
        <v>0</v>
      </c>
      <c r="AE558" s="4">
        <v>0</v>
      </c>
      <c r="AF558" s="4">
        <v>0</v>
      </c>
      <c r="AG558" s="4">
        <v>0</v>
      </c>
      <c r="AH558" s="4">
        <v>0</v>
      </c>
      <c r="AI558" s="4">
        <v>0</v>
      </c>
      <c r="AJ558" s="4">
        <v>0</v>
      </c>
      <c r="AK558" s="4">
        <v>0</v>
      </c>
      <c r="AL558" s="4">
        <v>0</v>
      </c>
    </row>
    <row r="559" spans="5:38" x14ac:dyDescent="0.5">
      <c r="E559" s="100">
        <v>5</v>
      </c>
      <c r="F559" s="98" t="s">
        <v>13</v>
      </c>
      <c r="G559" s="4">
        <v>3</v>
      </c>
      <c r="H559" s="4">
        <v>25</v>
      </c>
      <c r="I559" s="4">
        <v>7</v>
      </c>
      <c r="J559" s="4">
        <v>19</v>
      </c>
      <c r="K559" s="4">
        <v>27</v>
      </c>
      <c r="L559" s="4">
        <v>14</v>
      </c>
      <c r="M559" s="4">
        <v>11</v>
      </c>
      <c r="N559" s="4">
        <v>10</v>
      </c>
      <c r="O559" s="4">
        <v>30</v>
      </c>
      <c r="P559" s="4">
        <v>15</v>
      </c>
      <c r="Q559" s="4">
        <v>16</v>
      </c>
      <c r="R559" s="4">
        <v>29</v>
      </c>
      <c r="S559" s="4">
        <v>8</v>
      </c>
      <c r="T559" s="4">
        <v>24</v>
      </c>
      <c r="U559" s="4">
        <v>9</v>
      </c>
      <c r="V559" s="4">
        <v>17</v>
      </c>
      <c r="W559" s="4">
        <v>28</v>
      </c>
      <c r="X559" s="4">
        <v>20</v>
      </c>
      <c r="Y559" s="4">
        <v>22</v>
      </c>
      <c r="Z559" s="4">
        <v>13</v>
      </c>
      <c r="AA559" s="4">
        <v>18</v>
      </c>
      <c r="AB559" s="4">
        <v>32</v>
      </c>
      <c r="AC559" s="4">
        <v>6</v>
      </c>
      <c r="AD559" s="4">
        <v>23</v>
      </c>
      <c r="AE559" s="4">
        <v>12</v>
      </c>
      <c r="AF559" s="4">
        <v>21</v>
      </c>
      <c r="AG559" s="4">
        <v>31</v>
      </c>
      <c r="AH559" s="4">
        <v>26</v>
      </c>
      <c r="AI559" s="4">
        <v>0</v>
      </c>
      <c r="AJ559" s="4">
        <v>0</v>
      </c>
      <c r="AK559" s="4">
        <v>0</v>
      </c>
      <c r="AL559" s="4">
        <v>0</v>
      </c>
    </row>
    <row r="560" spans="5:38" ht="16.149999999999999" thickBot="1" x14ac:dyDescent="0.55000000000000004">
      <c r="E560" s="101"/>
      <c r="F560" s="99"/>
      <c r="G560" s="4">
        <v>5</v>
      </c>
      <c r="H560" s="4">
        <v>4</v>
      </c>
      <c r="I560" s="4">
        <v>2</v>
      </c>
      <c r="J560" s="4">
        <v>1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4">
        <v>0</v>
      </c>
      <c r="T560" s="4">
        <v>0</v>
      </c>
      <c r="U560" s="4">
        <v>0</v>
      </c>
      <c r="V560" s="4">
        <v>0</v>
      </c>
      <c r="W560" s="4">
        <v>0</v>
      </c>
      <c r="X560" s="4">
        <v>0</v>
      </c>
      <c r="Y560" s="4">
        <v>0</v>
      </c>
      <c r="Z560" s="4">
        <v>0</v>
      </c>
      <c r="AA560" s="4">
        <v>0</v>
      </c>
      <c r="AB560" s="4">
        <v>0</v>
      </c>
      <c r="AC560" s="4">
        <v>0</v>
      </c>
      <c r="AD560" s="4">
        <v>0</v>
      </c>
      <c r="AE560" s="4">
        <v>0</v>
      </c>
      <c r="AF560" s="4">
        <v>0</v>
      </c>
      <c r="AG560" s="4">
        <v>0</v>
      </c>
      <c r="AH560" s="4">
        <v>0</v>
      </c>
      <c r="AI560" s="4">
        <v>0</v>
      </c>
      <c r="AJ560" s="4">
        <v>0</v>
      </c>
      <c r="AK560" s="4">
        <v>0</v>
      </c>
      <c r="AL560" s="4">
        <v>0</v>
      </c>
    </row>
    <row r="561" spans="5:38" x14ac:dyDescent="0.5">
      <c r="E561" s="100">
        <v>6</v>
      </c>
      <c r="F561" s="98" t="s">
        <v>16</v>
      </c>
      <c r="G561" s="4">
        <v>3</v>
      </c>
      <c r="H561" s="4">
        <v>25</v>
      </c>
      <c r="I561" s="4">
        <v>7</v>
      </c>
      <c r="J561" s="4">
        <v>19</v>
      </c>
      <c r="K561" s="4">
        <v>27</v>
      </c>
      <c r="L561" s="4">
        <v>14</v>
      </c>
      <c r="M561" s="4">
        <v>11</v>
      </c>
      <c r="N561" s="4">
        <v>10</v>
      </c>
      <c r="O561" s="4">
        <v>30</v>
      </c>
      <c r="P561" s="4">
        <v>15</v>
      </c>
      <c r="Q561" s="4">
        <v>16</v>
      </c>
      <c r="R561" s="4">
        <v>29</v>
      </c>
      <c r="S561" s="4">
        <v>8</v>
      </c>
      <c r="T561" s="4">
        <v>24</v>
      </c>
      <c r="U561" s="4">
        <v>9</v>
      </c>
      <c r="V561" s="4">
        <v>17</v>
      </c>
      <c r="W561" s="4">
        <v>28</v>
      </c>
      <c r="X561" s="4">
        <v>20</v>
      </c>
      <c r="Y561" s="4">
        <v>22</v>
      </c>
      <c r="Z561" s="4">
        <v>13</v>
      </c>
      <c r="AA561" s="4">
        <v>18</v>
      </c>
      <c r="AB561" s="4">
        <v>32</v>
      </c>
      <c r="AC561" s="4">
        <v>6</v>
      </c>
      <c r="AD561" s="4">
        <v>23</v>
      </c>
      <c r="AE561" s="4">
        <v>12</v>
      </c>
      <c r="AF561" s="4">
        <v>21</v>
      </c>
      <c r="AG561" s="4">
        <v>31</v>
      </c>
      <c r="AH561" s="4">
        <v>26</v>
      </c>
      <c r="AI561" s="4">
        <v>0</v>
      </c>
      <c r="AJ561" s="4">
        <v>0</v>
      </c>
      <c r="AK561" s="4">
        <v>0</v>
      </c>
      <c r="AL561" s="4">
        <v>0</v>
      </c>
    </row>
    <row r="562" spans="5:38" ht="16.149999999999999" thickBot="1" x14ac:dyDescent="0.55000000000000004">
      <c r="E562" s="101"/>
      <c r="F562" s="99"/>
      <c r="G562" s="4">
        <v>1</v>
      </c>
      <c r="H562" s="4">
        <v>5</v>
      </c>
      <c r="I562" s="4">
        <v>4</v>
      </c>
      <c r="J562" s="4">
        <v>2</v>
      </c>
      <c r="K562" s="4">
        <v>0</v>
      </c>
      <c r="L562" s="4">
        <v>0</v>
      </c>
      <c r="M562" s="4">
        <v>0</v>
      </c>
      <c r="N562" s="4">
        <v>0</v>
      </c>
      <c r="O562" s="4">
        <v>0</v>
      </c>
      <c r="P562" s="4">
        <v>0</v>
      </c>
      <c r="Q562" s="4">
        <v>0</v>
      </c>
      <c r="R562" s="4">
        <v>0</v>
      </c>
      <c r="S562" s="4">
        <v>0</v>
      </c>
      <c r="T562" s="4">
        <v>0</v>
      </c>
      <c r="U562" s="4">
        <v>0</v>
      </c>
      <c r="V562" s="4">
        <v>0</v>
      </c>
      <c r="W562" s="4">
        <v>0</v>
      </c>
      <c r="X562" s="4">
        <v>0</v>
      </c>
      <c r="Y562" s="4">
        <v>0</v>
      </c>
      <c r="Z562" s="4">
        <v>0</v>
      </c>
      <c r="AA562" s="4">
        <v>0</v>
      </c>
      <c r="AB562" s="4">
        <v>0</v>
      </c>
      <c r="AC562" s="4">
        <v>0</v>
      </c>
      <c r="AD562" s="4">
        <v>0</v>
      </c>
      <c r="AE562" s="4">
        <v>0</v>
      </c>
      <c r="AF562" s="4">
        <v>0</v>
      </c>
      <c r="AG562" s="4">
        <v>0</v>
      </c>
      <c r="AH562" s="4">
        <v>0</v>
      </c>
      <c r="AI562" s="4">
        <v>0</v>
      </c>
      <c r="AJ562" s="4">
        <v>0</v>
      </c>
      <c r="AK562" s="4">
        <v>0</v>
      </c>
      <c r="AL562" s="4">
        <v>0</v>
      </c>
    </row>
    <row r="563" spans="5:38" x14ac:dyDescent="0.5">
      <c r="E563" s="100">
        <v>7</v>
      </c>
      <c r="F563" s="98" t="s">
        <v>16</v>
      </c>
      <c r="G563" s="4">
        <v>3</v>
      </c>
      <c r="H563" s="4">
        <v>25</v>
      </c>
      <c r="I563" s="4">
        <v>7</v>
      </c>
      <c r="J563" s="4">
        <v>19</v>
      </c>
      <c r="K563" s="4">
        <v>27</v>
      </c>
      <c r="L563" s="4">
        <v>14</v>
      </c>
      <c r="M563" s="4">
        <v>11</v>
      </c>
      <c r="N563" s="4">
        <v>10</v>
      </c>
      <c r="O563" s="4">
        <v>30</v>
      </c>
      <c r="P563" s="4">
        <v>15</v>
      </c>
      <c r="Q563" s="4">
        <v>16</v>
      </c>
      <c r="R563" s="4">
        <v>29</v>
      </c>
      <c r="S563" s="4">
        <v>8</v>
      </c>
      <c r="T563" s="4">
        <v>24</v>
      </c>
      <c r="U563" s="4">
        <v>9</v>
      </c>
      <c r="V563" s="4">
        <v>17</v>
      </c>
      <c r="W563" s="4">
        <v>28</v>
      </c>
      <c r="X563" s="4">
        <v>20</v>
      </c>
      <c r="Y563" s="4">
        <v>22</v>
      </c>
      <c r="Z563" s="4">
        <v>13</v>
      </c>
      <c r="AA563" s="4">
        <v>18</v>
      </c>
      <c r="AB563" s="4">
        <v>32</v>
      </c>
      <c r="AC563" s="4">
        <v>6</v>
      </c>
      <c r="AD563" s="4">
        <v>23</v>
      </c>
      <c r="AE563" s="4">
        <v>12</v>
      </c>
      <c r="AF563" s="4">
        <v>21</v>
      </c>
      <c r="AG563" s="4">
        <v>31</v>
      </c>
      <c r="AH563" s="4">
        <v>26</v>
      </c>
      <c r="AI563" s="4">
        <v>0</v>
      </c>
      <c r="AJ563" s="4">
        <v>0</v>
      </c>
      <c r="AK563" s="4">
        <v>0</v>
      </c>
      <c r="AL563" s="4">
        <v>0</v>
      </c>
    </row>
    <row r="564" spans="5:38" ht="16.149999999999999" thickBot="1" x14ac:dyDescent="0.55000000000000004">
      <c r="E564" s="101"/>
      <c r="F564" s="99"/>
      <c r="G564" s="4">
        <v>2</v>
      </c>
      <c r="H564" s="4">
        <v>1</v>
      </c>
      <c r="I564" s="4">
        <v>5</v>
      </c>
      <c r="J564" s="4">
        <v>4</v>
      </c>
      <c r="K564" s="4">
        <v>0</v>
      </c>
      <c r="L564" s="4">
        <v>0</v>
      </c>
      <c r="M564" s="4">
        <v>0</v>
      </c>
      <c r="N564" s="4">
        <v>0</v>
      </c>
      <c r="O564" s="4">
        <v>0</v>
      </c>
      <c r="P564" s="4">
        <v>0</v>
      </c>
      <c r="Q564" s="4">
        <v>0</v>
      </c>
      <c r="R564" s="4">
        <v>0</v>
      </c>
      <c r="S564" s="4">
        <v>0</v>
      </c>
      <c r="T564" s="4">
        <v>0</v>
      </c>
      <c r="U564" s="4">
        <v>0</v>
      </c>
      <c r="V564" s="4">
        <v>0</v>
      </c>
      <c r="W564" s="4">
        <v>0</v>
      </c>
      <c r="X564" s="4">
        <v>0</v>
      </c>
      <c r="Y564" s="4">
        <v>0</v>
      </c>
      <c r="Z564" s="4">
        <v>0</v>
      </c>
      <c r="AA564" s="4">
        <v>0</v>
      </c>
      <c r="AB564" s="4">
        <v>0</v>
      </c>
      <c r="AC564" s="4">
        <v>0</v>
      </c>
      <c r="AD564" s="4">
        <v>0</v>
      </c>
      <c r="AE564" s="4">
        <v>0</v>
      </c>
      <c r="AF564" s="4">
        <v>0</v>
      </c>
      <c r="AG564" s="4">
        <v>0</v>
      </c>
      <c r="AH564" s="4">
        <v>0</v>
      </c>
      <c r="AI564" s="4">
        <v>0</v>
      </c>
      <c r="AJ564" s="4">
        <v>0</v>
      </c>
      <c r="AK564" s="4">
        <v>0</v>
      </c>
      <c r="AL564" s="4">
        <v>0</v>
      </c>
    </row>
    <row r="565" spans="5:38" x14ac:dyDescent="0.5">
      <c r="E565" s="100">
        <v>8</v>
      </c>
      <c r="F565" s="98" t="s">
        <v>13</v>
      </c>
      <c r="G565" s="4">
        <v>25</v>
      </c>
      <c r="H565" s="4">
        <v>7</v>
      </c>
      <c r="I565" s="4">
        <v>19</v>
      </c>
      <c r="J565" s="4">
        <v>27</v>
      </c>
      <c r="K565" s="4">
        <v>14</v>
      </c>
      <c r="L565" s="4">
        <v>11</v>
      </c>
      <c r="M565" s="4">
        <v>10</v>
      </c>
      <c r="N565" s="4">
        <v>30</v>
      </c>
      <c r="O565" s="4">
        <v>15</v>
      </c>
      <c r="P565" s="4">
        <v>16</v>
      </c>
      <c r="Q565" s="4">
        <v>29</v>
      </c>
      <c r="R565" s="4">
        <v>8</v>
      </c>
      <c r="S565" s="4">
        <v>24</v>
      </c>
      <c r="T565" s="4">
        <v>9</v>
      </c>
      <c r="U565" s="4">
        <v>17</v>
      </c>
      <c r="V565" s="4">
        <v>28</v>
      </c>
      <c r="W565" s="4">
        <v>20</v>
      </c>
      <c r="X565" s="4">
        <v>22</v>
      </c>
      <c r="Y565" s="4">
        <v>13</v>
      </c>
      <c r="Z565" s="4">
        <v>18</v>
      </c>
      <c r="AA565" s="4">
        <v>32</v>
      </c>
      <c r="AB565" s="4">
        <v>6</v>
      </c>
      <c r="AC565" s="4">
        <v>23</v>
      </c>
      <c r="AD565" s="4">
        <v>12</v>
      </c>
      <c r="AE565" s="4">
        <v>21</v>
      </c>
      <c r="AF565" s="4">
        <v>31</v>
      </c>
      <c r="AG565" s="4">
        <v>26</v>
      </c>
      <c r="AH565" s="4">
        <v>0</v>
      </c>
      <c r="AI565" s="4">
        <v>0</v>
      </c>
      <c r="AJ565" s="4">
        <v>0</v>
      </c>
      <c r="AK565" s="4">
        <v>0</v>
      </c>
      <c r="AL565" s="4">
        <v>0</v>
      </c>
    </row>
    <row r="566" spans="5:38" ht="16.149999999999999" thickBot="1" x14ac:dyDescent="0.55000000000000004">
      <c r="E566" s="101"/>
      <c r="F566" s="99"/>
      <c r="G566" s="4">
        <v>3</v>
      </c>
      <c r="H566" s="4">
        <v>2</v>
      </c>
      <c r="I566" s="4">
        <v>1</v>
      </c>
      <c r="J566" s="4">
        <v>5</v>
      </c>
      <c r="K566" s="4">
        <v>4</v>
      </c>
      <c r="L566" s="4">
        <v>0</v>
      </c>
      <c r="M566" s="4">
        <v>0</v>
      </c>
      <c r="N566" s="4">
        <v>0</v>
      </c>
      <c r="O566" s="4">
        <v>0</v>
      </c>
      <c r="P566" s="4">
        <v>0</v>
      </c>
      <c r="Q566" s="4">
        <v>0</v>
      </c>
      <c r="R566" s="4">
        <v>0</v>
      </c>
      <c r="S566" s="4">
        <v>0</v>
      </c>
      <c r="T566" s="4">
        <v>0</v>
      </c>
      <c r="U566" s="4">
        <v>0</v>
      </c>
      <c r="V566" s="4">
        <v>0</v>
      </c>
      <c r="W566" s="4">
        <v>0</v>
      </c>
      <c r="X566" s="4">
        <v>0</v>
      </c>
      <c r="Y566" s="4">
        <v>0</v>
      </c>
      <c r="Z566" s="4">
        <v>0</v>
      </c>
      <c r="AA566" s="4">
        <v>0</v>
      </c>
      <c r="AB566" s="4">
        <v>0</v>
      </c>
      <c r="AC566" s="4">
        <v>0</v>
      </c>
      <c r="AD566" s="4">
        <v>0</v>
      </c>
      <c r="AE566" s="4">
        <v>0</v>
      </c>
      <c r="AF566" s="4">
        <v>0</v>
      </c>
      <c r="AG566" s="4">
        <v>0</v>
      </c>
      <c r="AH566" s="4">
        <v>0</v>
      </c>
      <c r="AI566" s="4">
        <v>0</v>
      </c>
      <c r="AJ566" s="4">
        <v>0</v>
      </c>
      <c r="AK566" s="4">
        <v>0</v>
      </c>
      <c r="AL566" s="4">
        <v>0</v>
      </c>
    </row>
    <row r="568" spans="5:38" ht="16.149999999999999" thickBot="1" x14ac:dyDescent="0.55000000000000004"/>
    <row r="569" spans="5:38" x14ac:dyDescent="0.5">
      <c r="E569" s="100">
        <v>0</v>
      </c>
      <c r="F569" s="102" t="s">
        <v>11</v>
      </c>
      <c r="G569" s="4">
        <v>1</v>
      </c>
      <c r="H569" s="4">
        <v>5</v>
      </c>
      <c r="I569" s="4">
        <v>2</v>
      </c>
      <c r="J569" s="4">
        <v>4</v>
      </c>
      <c r="K569" s="4">
        <v>3</v>
      </c>
      <c r="L569" s="4">
        <v>25</v>
      </c>
      <c r="M569" s="4">
        <v>7</v>
      </c>
      <c r="N569" s="4">
        <v>19</v>
      </c>
      <c r="O569" s="4">
        <v>27</v>
      </c>
      <c r="P569" s="4">
        <v>14</v>
      </c>
      <c r="Q569" s="4">
        <v>11</v>
      </c>
      <c r="R569" s="4">
        <v>10</v>
      </c>
      <c r="S569" s="4">
        <v>30</v>
      </c>
      <c r="T569" s="4">
        <v>15</v>
      </c>
      <c r="U569" s="4">
        <v>16</v>
      </c>
      <c r="V569" s="4">
        <v>29</v>
      </c>
      <c r="W569" s="4">
        <v>8</v>
      </c>
      <c r="X569" s="4">
        <v>24</v>
      </c>
      <c r="Y569" s="4">
        <v>9</v>
      </c>
      <c r="Z569" s="4">
        <v>17</v>
      </c>
      <c r="AA569" s="4">
        <v>28</v>
      </c>
      <c r="AB569" s="4">
        <v>20</v>
      </c>
      <c r="AC569" s="4">
        <v>22</v>
      </c>
      <c r="AD569" s="4">
        <v>13</v>
      </c>
      <c r="AE569" s="4">
        <v>18</v>
      </c>
      <c r="AF569" s="4">
        <v>32</v>
      </c>
      <c r="AG569" s="4">
        <v>6</v>
      </c>
      <c r="AH569" s="4">
        <v>23</v>
      </c>
      <c r="AI569" s="4">
        <v>12</v>
      </c>
      <c r="AJ569" s="4">
        <v>21</v>
      </c>
      <c r="AK569" s="4">
        <v>31</v>
      </c>
      <c r="AL569" s="4">
        <v>26</v>
      </c>
    </row>
    <row r="570" spans="5:38" ht="16.149999999999999" thickBot="1" x14ac:dyDescent="0.55000000000000004">
      <c r="E570" s="101"/>
      <c r="F570" s="103"/>
      <c r="G570" s="4"/>
      <c r="H570" s="4"/>
      <c r="I570" s="4"/>
      <c r="J570" s="4"/>
      <c r="K570" s="4">
        <v>0</v>
      </c>
      <c r="L570" s="4">
        <v>0</v>
      </c>
      <c r="M570" s="4">
        <v>0</v>
      </c>
      <c r="N570" s="4">
        <v>0</v>
      </c>
      <c r="O570" s="4">
        <v>0</v>
      </c>
      <c r="P570" s="4">
        <v>0</v>
      </c>
      <c r="Q570" s="4">
        <v>0</v>
      </c>
      <c r="R570" s="4">
        <v>0</v>
      </c>
      <c r="S570" s="4">
        <v>0</v>
      </c>
      <c r="T570" s="4">
        <v>0</v>
      </c>
      <c r="U570" s="4">
        <v>0</v>
      </c>
      <c r="V570" s="4">
        <v>0</v>
      </c>
      <c r="W570" s="4">
        <v>0</v>
      </c>
      <c r="X570" s="4">
        <v>0</v>
      </c>
      <c r="Y570" s="4">
        <v>0</v>
      </c>
      <c r="Z570" s="4">
        <v>0</v>
      </c>
      <c r="AA570" s="4">
        <v>0</v>
      </c>
      <c r="AB570" s="4">
        <v>0</v>
      </c>
      <c r="AC570" s="4">
        <v>0</v>
      </c>
      <c r="AD570" s="4">
        <v>0</v>
      </c>
      <c r="AE570" s="4">
        <v>0</v>
      </c>
      <c r="AF570" s="4">
        <v>0</v>
      </c>
      <c r="AG570" s="4">
        <v>0</v>
      </c>
      <c r="AH570" s="4">
        <v>0</v>
      </c>
      <c r="AI570" s="4">
        <v>0</v>
      </c>
      <c r="AJ570" s="4">
        <v>0</v>
      </c>
      <c r="AK570" s="4">
        <v>0</v>
      </c>
      <c r="AL570" s="4">
        <v>0</v>
      </c>
    </row>
    <row r="571" spans="5:38" x14ac:dyDescent="0.5">
      <c r="E571" s="100">
        <v>1</v>
      </c>
      <c r="F571" s="98" t="s">
        <v>13</v>
      </c>
      <c r="G571" s="4">
        <v>5</v>
      </c>
      <c r="H571" s="4">
        <v>2</v>
      </c>
      <c r="I571" s="4">
        <v>4</v>
      </c>
      <c r="J571" s="4">
        <v>3</v>
      </c>
      <c r="K571" s="4">
        <v>25</v>
      </c>
      <c r="L571" s="4">
        <v>7</v>
      </c>
      <c r="M571" s="4">
        <v>19</v>
      </c>
      <c r="N571" s="4">
        <v>27</v>
      </c>
      <c r="O571" s="4">
        <v>14</v>
      </c>
      <c r="P571" s="4">
        <v>11</v>
      </c>
      <c r="Q571" s="4">
        <v>10</v>
      </c>
      <c r="R571" s="4">
        <v>30</v>
      </c>
      <c r="S571" s="4">
        <v>15</v>
      </c>
      <c r="T571" s="4">
        <v>16</v>
      </c>
      <c r="U571" s="4">
        <v>29</v>
      </c>
      <c r="V571" s="4">
        <v>8</v>
      </c>
      <c r="W571" s="4">
        <v>24</v>
      </c>
      <c r="X571" s="4">
        <v>9</v>
      </c>
      <c r="Y571" s="4">
        <v>17</v>
      </c>
      <c r="Z571" s="4">
        <v>28</v>
      </c>
      <c r="AA571" s="4">
        <v>20</v>
      </c>
      <c r="AB571" s="4">
        <v>22</v>
      </c>
      <c r="AC571" s="4">
        <v>13</v>
      </c>
      <c r="AD571" s="4">
        <v>18</v>
      </c>
      <c r="AE571" s="4">
        <v>32</v>
      </c>
      <c r="AF571" s="4">
        <v>6</v>
      </c>
      <c r="AG571" s="4">
        <v>23</v>
      </c>
      <c r="AH571" s="4">
        <v>12</v>
      </c>
      <c r="AI571" s="4">
        <v>21</v>
      </c>
      <c r="AJ571" s="4">
        <v>31</v>
      </c>
      <c r="AK571" s="4">
        <v>26</v>
      </c>
      <c r="AL571" s="4">
        <v>0</v>
      </c>
    </row>
    <row r="572" spans="5:38" ht="16.149999999999999" thickBot="1" x14ac:dyDescent="0.55000000000000004">
      <c r="E572" s="101"/>
      <c r="F572" s="99"/>
      <c r="G572" s="4">
        <v>1</v>
      </c>
      <c r="H572" s="4">
        <v>0</v>
      </c>
      <c r="I572" s="4">
        <v>0</v>
      </c>
      <c r="J572" s="4">
        <v>0</v>
      </c>
      <c r="K572" s="4">
        <v>0</v>
      </c>
      <c r="L572" s="4">
        <v>0</v>
      </c>
      <c r="M572" s="4">
        <v>0</v>
      </c>
      <c r="N572" s="4">
        <v>0</v>
      </c>
      <c r="O572" s="4">
        <v>0</v>
      </c>
      <c r="P572" s="4">
        <v>0</v>
      </c>
      <c r="Q572" s="4">
        <v>0</v>
      </c>
      <c r="R572" s="4">
        <v>0</v>
      </c>
      <c r="S572" s="4">
        <v>0</v>
      </c>
      <c r="T572" s="4">
        <v>0</v>
      </c>
      <c r="U572" s="4">
        <v>0</v>
      </c>
      <c r="V572" s="4">
        <v>0</v>
      </c>
      <c r="W572" s="4">
        <v>0</v>
      </c>
      <c r="X572" s="4">
        <v>0</v>
      </c>
      <c r="Y572" s="4">
        <v>0</v>
      </c>
      <c r="Z572" s="4">
        <v>0</v>
      </c>
      <c r="AA572" s="4">
        <v>0</v>
      </c>
      <c r="AB572" s="4">
        <v>0</v>
      </c>
      <c r="AC572" s="4">
        <v>0</v>
      </c>
      <c r="AD572" s="4">
        <v>0</v>
      </c>
      <c r="AE572" s="4">
        <v>0</v>
      </c>
      <c r="AF572" s="4">
        <v>0</v>
      </c>
      <c r="AG572" s="4">
        <v>0</v>
      </c>
      <c r="AH572" s="4">
        <v>0</v>
      </c>
      <c r="AI572" s="4">
        <v>0</v>
      </c>
      <c r="AJ572" s="4">
        <v>0</v>
      </c>
      <c r="AK572" s="4">
        <v>0</v>
      </c>
      <c r="AL572" s="4">
        <v>0</v>
      </c>
    </row>
    <row r="573" spans="5:38" x14ac:dyDescent="0.5">
      <c r="E573" s="100">
        <v>2</v>
      </c>
      <c r="F573" s="98" t="s">
        <v>13</v>
      </c>
      <c r="G573" s="4">
        <v>2</v>
      </c>
      <c r="H573" s="4">
        <v>4</v>
      </c>
      <c r="I573" s="4">
        <v>3</v>
      </c>
      <c r="J573" s="4">
        <v>25</v>
      </c>
      <c r="K573" s="4">
        <v>7</v>
      </c>
      <c r="L573" s="4">
        <v>19</v>
      </c>
      <c r="M573" s="4">
        <v>27</v>
      </c>
      <c r="N573" s="4">
        <v>14</v>
      </c>
      <c r="O573" s="4">
        <v>11</v>
      </c>
      <c r="P573" s="4">
        <v>10</v>
      </c>
      <c r="Q573" s="4">
        <v>30</v>
      </c>
      <c r="R573" s="4">
        <v>15</v>
      </c>
      <c r="S573" s="4">
        <v>16</v>
      </c>
      <c r="T573" s="4">
        <v>29</v>
      </c>
      <c r="U573" s="4">
        <v>8</v>
      </c>
      <c r="V573" s="4">
        <v>24</v>
      </c>
      <c r="W573" s="4">
        <v>9</v>
      </c>
      <c r="X573" s="4">
        <v>17</v>
      </c>
      <c r="Y573" s="4">
        <v>28</v>
      </c>
      <c r="Z573" s="4">
        <v>20</v>
      </c>
      <c r="AA573" s="4">
        <v>22</v>
      </c>
      <c r="AB573" s="4">
        <v>13</v>
      </c>
      <c r="AC573" s="4">
        <v>18</v>
      </c>
      <c r="AD573" s="4">
        <v>32</v>
      </c>
      <c r="AE573" s="4">
        <v>6</v>
      </c>
      <c r="AF573" s="4">
        <v>23</v>
      </c>
      <c r="AG573" s="4">
        <v>12</v>
      </c>
      <c r="AH573" s="4">
        <v>21</v>
      </c>
      <c r="AI573" s="4">
        <v>31</v>
      </c>
      <c r="AJ573" s="4">
        <v>26</v>
      </c>
      <c r="AK573" s="4">
        <v>0</v>
      </c>
      <c r="AL573" s="4">
        <v>0</v>
      </c>
    </row>
    <row r="574" spans="5:38" ht="16.149999999999999" thickBot="1" x14ac:dyDescent="0.55000000000000004">
      <c r="E574" s="101"/>
      <c r="F574" s="99"/>
      <c r="G574" s="4">
        <v>5</v>
      </c>
      <c r="H574" s="4">
        <v>1</v>
      </c>
      <c r="I574" s="4">
        <v>0</v>
      </c>
      <c r="J574" s="4">
        <v>0</v>
      </c>
      <c r="K574" s="4">
        <v>0</v>
      </c>
      <c r="L574" s="4">
        <v>0</v>
      </c>
      <c r="M574" s="4">
        <v>0</v>
      </c>
      <c r="N574" s="4">
        <v>0</v>
      </c>
      <c r="O574" s="4">
        <v>0</v>
      </c>
      <c r="P574" s="4">
        <v>0</v>
      </c>
      <c r="Q574" s="4">
        <v>0</v>
      </c>
      <c r="R574" s="4">
        <v>0</v>
      </c>
      <c r="S574" s="4">
        <v>0</v>
      </c>
      <c r="T574" s="4">
        <v>0</v>
      </c>
      <c r="U574" s="4">
        <v>0</v>
      </c>
      <c r="V574" s="4">
        <v>0</v>
      </c>
      <c r="W574" s="4">
        <v>0</v>
      </c>
      <c r="X574" s="4">
        <v>0</v>
      </c>
      <c r="Y574" s="4">
        <v>0</v>
      </c>
      <c r="Z574" s="4">
        <v>0</v>
      </c>
      <c r="AA574" s="4">
        <v>0</v>
      </c>
      <c r="AB574" s="4">
        <v>0</v>
      </c>
      <c r="AC574" s="4">
        <v>0</v>
      </c>
      <c r="AD574" s="4">
        <v>0</v>
      </c>
      <c r="AE574" s="4">
        <v>0</v>
      </c>
      <c r="AF574" s="4">
        <v>0</v>
      </c>
      <c r="AG574" s="4">
        <v>0</v>
      </c>
      <c r="AH574" s="4">
        <v>0</v>
      </c>
      <c r="AI574" s="4">
        <v>0</v>
      </c>
      <c r="AJ574" s="4">
        <v>0</v>
      </c>
      <c r="AK574" s="4">
        <v>0</v>
      </c>
      <c r="AL574" s="4">
        <v>0</v>
      </c>
    </row>
    <row r="575" spans="5:38" x14ac:dyDescent="0.5">
      <c r="E575" s="100">
        <v>3</v>
      </c>
      <c r="F575" s="98" t="s">
        <v>17</v>
      </c>
      <c r="G575" s="4">
        <v>2</v>
      </c>
      <c r="H575" s="4">
        <v>4</v>
      </c>
      <c r="I575" s="4">
        <v>3</v>
      </c>
      <c r="J575" s="4">
        <v>25</v>
      </c>
      <c r="K575" s="4">
        <v>7</v>
      </c>
      <c r="L575" s="4">
        <v>19</v>
      </c>
      <c r="M575" s="4">
        <v>27</v>
      </c>
      <c r="N575" s="4">
        <v>14</v>
      </c>
      <c r="O575" s="4">
        <v>11</v>
      </c>
      <c r="P575" s="4">
        <v>10</v>
      </c>
      <c r="Q575" s="4">
        <v>30</v>
      </c>
      <c r="R575" s="4">
        <v>15</v>
      </c>
      <c r="S575" s="4">
        <v>16</v>
      </c>
      <c r="T575" s="4">
        <v>29</v>
      </c>
      <c r="U575" s="4">
        <v>8</v>
      </c>
      <c r="V575" s="4">
        <v>24</v>
      </c>
      <c r="W575" s="4">
        <v>9</v>
      </c>
      <c r="X575" s="4">
        <v>17</v>
      </c>
      <c r="Y575" s="4">
        <v>28</v>
      </c>
      <c r="Z575" s="4">
        <v>20</v>
      </c>
      <c r="AA575" s="4">
        <v>22</v>
      </c>
      <c r="AB575" s="4">
        <v>13</v>
      </c>
      <c r="AC575" s="4">
        <v>18</v>
      </c>
      <c r="AD575" s="4">
        <v>32</v>
      </c>
      <c r="AE575" s="4">
        <v>6</v>
      </c>
      <c r="AF575" s="4">
        <v>23</v>
      </c>
      <c r="AG575" s="4">
        <v>12</v>
      </c>
      <c r="AH575" s="4">
        <v>21</v>
      </c>
      <c r="AI575" s="4">
        <v>31</v>
      </c>
      <c r="AJ575" s="4">
        <v>26</v>
      </c>
      <c r="AK575" s="4">
        <v>0</v>
      </c>
      <c r="AL575" s="4">
        <v>0</v>
      </c>
    </row>
    <row r="576" spans="5:38" ht="16.149999999999999" thickBot="1" x14ac:dyDescent="0.55000000000000004">
      <c r="E576" s="101"/>
      <c r="F576" s="99"/>
      <c r="G576" s="4">
        <v>1</v>
      </c>
      <c r="H576" s="4">
        <v>5</v>
      </c>
      <c r="I576" s="4">
        <v>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  <c r="P576" s="4">
        <v>0</v>
      </c>
      <c r="Q576" s="4">
        <v>0</v>
      </c>
      <c r="R576" s="4">
        <v>0</v>
      </c>
      <c r="S576" s="4">
        <v>0</v>
      </c>
      <c r="T576" s="4">
        <v>0</v>
      </c>
      <c r="U576" s="4">
        <v>0</v>
      </c>
      <c r="V576" s="4">
        <v>0</v>
      </c>
      <c r="W576" s="4">
        <v>0</v>
      </c>
      <c r="X576" s="4">
        <v>0</v>
      </c>
      <c r="Y576" s="4">
        <v>0</v>
      </c>
      <c r="Z576" s="4">
        <v>0</v>
      </c>
      <c r="AA576" s="4">
        <v>0</v>
      </c>
      <c r="AB576" s="4">
        <v>0</v>
      </c>
      <c r="AC576" s="4">
        <v>0</v>
      </c>
      <c r="AD576" s="4">
        <v>0</v>
      </c>
      <c r="AE576" s="4">
        <v>0</v>
      </c>
      <c r="AF576" s="4">
        <v>0</v>
      </c>
      <c r="AG576" s="4">
        <v>0</v>
      </c>
      <c r="AH576" s="4">
        <v>0</v>
      </c>
      <c r="AI576" s="4">
        <v>0</v>
      </c>
      <c r="AJ576" s="4">
        <v>0</v>
      </c>
      <c r="AK576" s="4">
        <v>0</v>
      </c>
      <c r="AL576" s="4">
        <v>0</v>
      </c>
    </row>
    <row r="577" spans="5:38" x14ac:dyDescent="0.5">
      <c r="E577" s="100">
        <v>4</v>
      </c>
      <c r="F577" s="98" t="s">
        <v>13</v>
      </c>
      <c r="G577" s="4">
        <v>4</v>
      </c>
      <c r="H577" s="4">
        <v>3</v>
      </c>
      <c r="I577" s="4">
        <v>25</v>
      </c>
      <c r="J577" s="4">
        <v>7</v>
      </c>
      <c r="K577" s="4">
        <v>19</v>
      </c>
      <c r="L577" s="4">
        <v>27</v>
      </c>
      <c r="M577" s="4">
        <v>14</v>
      </c>
      <c r="N577" s="4">
        <v>11</v>
      </c>
      <c r="O577" s="4">
        <v>10</v>
      </c>
      <c r="P577" s="4">
        <v>30</v>
      </c>
      <c r="Q577" s="4">
        <v>15</v>
      </c>
      <c r="R577" s="4">
        <v>16</v>
      </c>
      <c r="S577" s="4">
        <v>29</v>
      </c>
      <c r="T577" s="4">
        <v>8</v>
      </c>
      <c r="U577" s="4">
        <v>24</v>
      </c>
      <c r="V577" s="4">
        <v>9</v>
      </c>
      <c r="W577" s="4">
        <v>17</v>
      </c>
      <c r="X577" s="4">
        <v>28</v>
      </c>
      <c r="Y577" s="4">
        <v>20</v>
      </c>
      <c r="Z577" s="4">
        <v>22</v>
      </c>
      <c r="AA577" s="4">
        <v>13</v>
      </c>
      <c r="AB577" s="4">
        <v>18</v>
      </c>
      <c r="AC577" s="4">
        <v>32</v>
      </c>
      <c r="AD577" s="4">
        <v>6</v>
      </c>
      <c r="AE577" s="4">
        <v>23</v>
      </c>
      <c r="AF577" s="4">
        <v>12</v>
      </c>
      <c r="AG577" s="4">
        <v>21</v>
      </c>
      <c r="AH577" s="4">
        <v>31</v>
      </c>
      <c r="AI577" s="4">
        <v>26</v>
      </c>
      <c r="AJ577" s="4">
        <v>0</v>
      </c>
      <c r="AK577" s="4">
        <v>0</v>
      </c>
      <c r="AL577" s="4">
        <v>0</v>
      </c>
    </row>
    <row r="578" spans="5:38" ht="16.149999999999999" thickBot="1" x14ac:dyDescent="0.55000000000000004">
      <c r="E578" s="101"/>
      <c r="F578" s="99"/>
      <c r="G578" s="4">
        <v>2</v>
      </c>
      <c r="H578" s="4">
        <v>1</v>
      </c>
      <c r="I578" s="4">
        <v>5</v>
      </c>
      <c r="J578" s="4">
        <v>0</v>
      </c>
      <c r="K578" s="4">
        <v>0</v>
      </c>
      <c r="L578" s="4">
        <v>0</v>
      </c>
      <c r="M578" s="4">
        <v>0</v>
      </c>
      <c r="N578" s="4">
        <v>0</v>
      </c>
      <c r="O578" s="4">
        <v>0</v>
      </c>
      <c r="P578" s="4">
        <v>0</v>
      </c>
      <c r="Q578" s="4">
        <v>0</v>
      </c>
      <c r="R578" s="4">
        <v>0</v>
      </c>
      <c r="S578" s="4">
        <v>0</v>
      </c>
      <c r="T578" s="4">
        <v>0</v>
      </c>
      <c r="U578" s="4">
        <v>0</v>
      </c>
      <c r="V578" s="4">
        <v>0</v>
      </c>
      <c r="W578" s="4">
        <v>0</v>
      </c>
      <c r="X578" s="4">
        <v>0</v>
      </c>
      <c r="Y578" s="4">
        <v>0</v>
      </c>
      <c r="Z578" s="4">
        <v>0</v>
      </c>
      <c r="AA578" s="4">
        <v>0</v>
      </c>
      <c r="AB578" s="4">
        <v>0</v>
      </c>
      <c r="AC578" s="4">
        <v>0</v>
      </c>
      <c r="AD578" s="4">
        <v>0</v>
      </c>
      <c r="AE578" s="4">
        <v>0</v>
      </c>
      <c r="AF578" s="4">
        <v>0</v>
      </c>
      <c r="AG578" s="4">
        <v>0</v>
      </c>
      <c r="AH578" s="4">
        <v>0</v>
      </c>
      <c r="AI578" s="4">
        <v>0</v>
      </c>
      <c r="AJ578" s="4">
        <v>0</v>
      </c>
      <c r="AK578" s="4">
        <v>0</v>
      </c>
      <c r="AL578" s="4">
        <v>0</v>
      </c>
    </row>
    <row r="579" spans="5:38" x14ac:dyDescent="0.5">
      <c r="E579" s="100">
        <v>5</v>
      </c>
      <c r="F579" s="98" t="s">
        <v>18</v>
      </c>
      <c r="G579" s="4">
        <v>3</v>
      </c>
      <c r="H579" s="4">
        <v>4</v>
      </c>
      <c r="I579" s="4">
        <v>25</v>
      </c>
      <c r="J579" s="4">
        <v>7</v>
      </c>
      <c r="K579" s="4">
        <v>19</v>
      </c>
      <c r="L579" s="4">
        <v>27</v>
      </c>
      <c r="M579" s="4">
        <v>14</v>
      </c>
      <c r="N579" s="4">
        <v>11</v>
      </c>
      <c r="O579" s="4">
        <v>10</v>
      </c>
      <c r="P579" s="4">
        <v>30</v>
      </c>
      <c r="Q579" s="4">
        <v>15</v>
      </c>
      <c r="R579" s="4">
        <v>16</v>
      </c>
      <c r="S579" s="4">
        <v>29</v>
      </c>
      <c r="T579" s="4">
        <v>8</v>
      </c>
      <c r="U579" s="4">
        <v>24</v>
      </c>
      <c r="V579" s="4">
        <v>9</v>
      </c>
      <c r="W579" s="4">
        <v>17</v>
      </c>
      <c r="X579" s="4">
        <v>28</v>
      </c>
      <c r="Y579" s="4">
        <v>20</v>
      </c>
      <c r="Z579" s="4">
        <v>22</v>
      </c>
      <c r="AA579" s="4">
        <v>13</v>
      </c>
      <c r="AB579" s="4">
        <v>18</v>
      </c>
      <c r="AC579" s="4">
        <v>32</v>
      </c>
      <c r="AD579" s="4">
        <v>6</v>
      </c>
      <c r="AE579" s="4">
        <v>23</v>
      </c>
      <c r="AF579" s="4">
        <v>12</v>
      </c>
      <c r="AG579" s="4">
        <v>21</v>
      </c>
      <c r="AH579" s="4">
        <v>31</v>
      </c>
      <c r="AI579" s="4">
        <v>26</v>
      </c>
      <c r="AJ579" s="4">
        <v>0</v>
      </c>
      <c r="AK579" s="4">
        <v>0</v>
      </c>
      <c r="AL579" s="4">
        <v>0</v>
      </c>
    </row>
    <row r="580" spans="5:38" ht="16.149999999999999" thickBot="1" x14ac:dyDescent="0.55000000000000004">
      <c r="E580" s="101"/>
      <c r="F580" s="99"/>
      <c r="G580" s="4">
        <v>2</v>
      </c>
      <c r="H580" s="4">
        <v>1</v>
      </c>
      <c r="I580" s="4">
        <v>5</v>
      </c>
      <c r="J580" s="4">
        <v>0</v>
      </c>
      <c r="K580" s="4">
        <v>0</v>
      </c>
      <c r="L580" s="4">
        <v>0</v>
      </c>
      <c r="M580" s="4">
        <v>0</v>
      </c>
      <c r="N580" s="4">
        <v>0</v>
      </c>
      <c r="O580" s="4">
        <v>0</v>
      </c>
      <c r="P580" s="4">
        <v>0</v>
      </c>
      <c r="Q580" s="4">
        <v>0</v>
      </c>
      <c r="R580" s="4">
        <v>0</v>
      </c>
      <c r="S580" s="4">
        <v>0</v>
      </c>
      <c r="T580" s="4">
        <v>0</v>
      </c>
      <c r="U580" s="4">
        <v>0</v>
      </c>
      <c r="V580" s="4">
        <v>0</v>
      </c>
      <c r="W580" s="4">
        <v>0</v>
      </c>
      <c r="X580" s="4">
        <v>0</v>
      </c>
      <c r="Y580" s="4">
        <v>0</v>
      </c>
      <c r="Z580" s="4">
        <v>0</v>
      </c>
      <c r="AA580" s="4">
        <v>0</v>
      </c>
      <c r="AB580" s="4">
        <v>0</v>
      </c>
      <c r="AC580" s="4">
        <v>0</v>
      </c>
      <c r="AD580" s="4">
        <v>0</v>
      </c>
      <c r="AE580" s="4">
        <v>0</v>
      </c>
      <c r="AF580" s="4">
        <v>0</v>
      </c>
      <c r="AG580" s="4">
        <v>0</v>
      </c>
      <c r="AH580" s="4">
        <v>0</v>
      </c>
      <c r="AI580" s="4">
        <v>0</v>
      </c>
      <c r="AJ580" s="4">
        <v>0</v>
      </c>
      <c r="AK580" s="4">
        <v>0</v>
      </c>
      <c r="AL580" s="4">
        <v>0</v>
      </c>
    </row>
    <row r="581" spans="5:38" x14ac:dyDescent="0.5">
      <c r="E581" s="100">
        <v>6</v>
      </c>
      <c r="F581" s="98" t="s">
        <v>13</v>
      </c>
      <c r="G581" s="4">
        <v>4</v>
      </c>
      <c r="H581" s="4">
        <v>25</v>
      </c>
      <c r="I581" s="4">
        <v>7</v>
      </c>
      <c r="J581" s="4">
        <v>19</v>
      </c>
      <c r="K581" s="4">
        <v>27</v>
      </c>
      <c r="L581" s="4">
        <v>14</v>
      </c>
      <c r="M581" s="4">
        <v>11</v>
      </c>
      <c r="N581" s="4">
        <v>10</v>
      </c>
      <c r="O581" s="4">
        <v>30</v>
      </c>
      <c r="P581" s="4">
        <v>15</v>
      </c>
      <c r="Q581" s="4">
        <v>16</v>
      </c>
      <c r="R581" s="4">
        <v>29</v>
      </c>
      <c r="S581" s="4">
        <v>8</v>
      </c>
      <c r="T581" s="4">
        <v>24</v>
      </c>
      <c r="U581" s="4">
        <v>9</v>
      </c>
      <c r="V581" s="4">
        <v>17</v>
      </c>
      <c r="W581" s="4">
        <v>28</v>
      </c>
      <c r="X581" s="4">
        <v>20</v>
      </c>
      <c r="Y581" s="4">
        <v>22</v>
      </c>
      <c r="Z581" s="4">
        <v>13</v>
      </c>
      <c r="AA581" s="4">
        <v>18</v>
      </c>
      <c r="AB581" s="4">
        <v>32</v>
      </c>
      <c r="AC581" s="4">
        <v>6</v>
      </c>
      <c r="AD581" s="4">
        <v>23</v>
      </c>
      <c r="AE581" s="4">
        <v>12</v>
      </c>
      <c r="AF581" s="4">
        <v>21</v>
      </c>
      <c r="AG581" s="4">
        <v>31</v>
      </c>
      <c r="AH581" s="4">
        <v>26</v>
      </c>
      <c r="AI581" s="4">
        <v>0</v>
      </c>
      <c r="AJ581" s="4">
        <v>0</v>
      </c>
      <c r="AK581" s="4">
        <v>0</v>
      </c>
      <c r="AL581" s="4">
        <v>0</v>
      </c>
    </row>
    <row r="582" spans="5:38" ht="16.149999999999999" thickBot="1" x14ac:dyDescent="0.55000000000000004">
      <c r="E582" s="101"/>
      <c r="F582" s="99"/>
      <c r="G582" s="4">
        <v>3</v>
      </c>
      <c r="H582" s="4">
        <v>2</v>
      </c>
      <c r="I582" s="4">
        <v>1</v>
      </c>
      <c r="J582" s="4">
        <v>5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0</v>
      </c>
      <c r="R582" s="4">
        <v>0</v>
      </c>
      <c r="S582" s="4">
        <v>0</v>
      </c>
      <c r="T582" s="4">
        <v>0</v>
      </c>
      <c r="U582" s="4">
        <v>0</v>
      </c>
      <c r="V582" s="4">
        <v>0</v>
      </c>
      <c r="W582" s="4">
        <v>0</v>
      </c>
      <c r="X582" s="4">
        <v>0</v>
      </c>
      <c r="Y582" s="4">
        <v>0</v>
      </c>
      <c r="Z582" s="4">
        <v>0</v>
      </c>
      <c r="AA582" s="4">
        <v>0</v>
      </c>
      <c r="AB582" s="4">
        <v>0</v>
      </c>
      <c r="AC582" s="4">
        <v>0</v>
      </c>
      <c r="AD582" s="4">
        <v>0</v>
      </c>
      <c r="AE582" s="4">
        <v>0</v>
      </c>
      <c r="AF582" s="4">
        <v>0</v>
      </c>
      <c r="AG582" s="4">
        <v>0</v>
      </c>
      <c r="AH582" s="4">
        <v>0</v>
      </c>
      <c r="AI582" s="4">
        <v>0</v>
      </c>
      <c r="AJ582" s="4">
        <v>0</v>
      </c>
      <c r="AK582" s="4">
        <v>0</v>
      </c>
      <c r="AL582" s="4">
        <v>0</v>
      </c>
    </row>
    <row r="583" spans="5:38" x14ac:dyDescent="0.5">
      <c r="E583" s="100">
        <v>7</v>
      </c>
      <c r="F583" s="98" t="s">
        <v>13</v>
      </c>
      <c r="G583" s="4">
        <v>25</v>
      </c>
      <c r="H583" s="4">
        <v>7</v>
      </c>
      <c r="I583" s="4">
        <v>19</v>
      </c>
      <c r="J583" s="4">
        <v>27</v>
      </c>
      <c r="K583" s="4">
        <v>14</v>
      </c>
      <c r="L583" s="4">
        <v>11</v>
      </c>
      <c r="M583" s="4">
        <v>10</v>
      </c>
      <c r="N583" s="4">
        <v>30</v>
      </c>
      <c r="O583" s="4">
        <v>15</v>
      </c>
      <c r="P583" s="4">
        <v>16</v>
      </c>
      <c r="Q583" s="4">
        <v>29</v>
      </c>
      <c r="R583" s="4">
        <v>8</v>
      </c>
      <c r="S583" s="4">
        <v>24</v>
      </c>
      <c r="T583" s="4">
        <v>9</v>
      </c>
      <c r="U583" s="4">
        <v>17</v>
      </c>
      <c r="V583" s="4">
        <v>28</v>
      </c>
      <c r="W583" s="4">
        <v>20</v>
      </c>
      <c r="X583" s="4">
        <v>22</v>
      </c>
      <c r="Y583" s="4">
        <v>13</v>
      </c>
      <c r="Z583" s="4">
        <v>18</v>
      </c>
      <c r="AA583" s="4">
        <v>32</v>
      </c>
      <c r="AB583" s="4">
        <v>6</v>
      </c>
      <c r="AC583" s="4">
        <v>23</v>
      </c>
      <c r="AD583" s="4">
        <v>12</v>
      </c>
      <c r="AE583" s="4">
        <v>21</v>
      </c>
      <c r="AF583" s="4">
        <v>31</v>
      </c>
      <c r="AG583" s="4">
        <v>26</v>
      </c>
      <c r="AH583" s="4">
        <v>0</v>
      </c>
      <c r="AI583" s="4">
        <v>0</v>
      </c>
      <c r="AJ583" s="4">
        <v>0</v>
      </c>
      <c r="AK583" s="4">
        <v>0</v>
      </c>
      <c r="AL583" s="4">
        <v>0</v>
      </c>
    </row>
    <row r="584" spans="5:38" ht="16.149999999999999" thickBot="1" x14ac:dyDescent="0.55000000000000004">
      <c r="E584" s="101"/>
      <c r="F584" s="99"/>
      <c r="G584" s="4">
        <v>4</v>
      </c>
      <c r="H584" s="4">
        <v>3</v>
      </c>
      <c r="I584" s="4">
        <v>2</v>
      </c>
      <c r="J584" s="4">
        <v>1</v>
      </c>
      <c r="K584" s="4">
        <v>5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0</v>
      </c>
      <c r="R584" s="4">
        <v>0</v>
      </c>
      <c r="S584" s="4">
        <v>0</v>
      </c>
      <c r="T584" s="4">
        <v>0</v>
      </c>
      <c r="U584" s="4">
        <v>0</v>
      </c>
      <c r="V584" s="4">
        <v>0</v>
      </c>
      <c r="W584" s="4">
        <v>0</v>
      </c>
      <c r="X584" s="4">
        <v>0</v>
      </c>
      <c r="Y584" s="4">
        <v>0</v>
      </c>
      <c r="Z584" s="4">
        <v>0</v>
      </c>
      <c r="AA584" s="4">
        <v>0</v>
      </c>
      <c r="AB584" s="4">
        <v>0</v>
      </c>
      <c r="AC584" s="4">
        <v>0</v>
      </c>
      <c r="AD584" s="4">
        <v>0</v>
      </c>
      <c r="AE584" s="4">
        <v>0</v>
      </c>
      <c r="AF584" s="4">
        <v>0</v>
      </c>
      <c r="AG584" s="4">
        <v>0</v>
      </c>
      <c r="AH584" s="4">
        <v>0</v>
      </c>
      <c r="AI584" s="4">
        <v>0</v>
      </c>
      <c r="AJ584" s="4">
        <v>0</v>
      </c>
      <c r="AK584" s="4">
        <v>0</v>
      </c>
      <c r="AL584" s="4">
        <v>0</v>
      </c>
    </row>
    <row r="586" spans="5:38" ht="16.149999999999999" thickBot="1" x14ac:dyDescent="0.55000000000000004"/>
    <row r="587" spans="5:38" x14ac:dyDescent="0.5">
      <c r="E587" s="100">
        <v>0</v>
      </c>
      <c r="F587" s="102" t="s">
        <v>11</v>
      </c>
      <c r="G587" s="4">
        <v>1</v>
      </c>
      <c r="H587" s="4">
        <v>3</v>
      </c>
      <c r="I587" s="4">
        <v>4</v>
      </c>
      <c r="J587" s="4">
        <v>2</v>
      </c>
      <c r="K587" s="4">
        <v>5</v>
      </c>
      <c r="L587" s="4">
        <v>25</v>
      </c>
      <c r="M587" s="4">
        <v>7</v>
      </c>
      <c r="N587" s="4">
        <v>19</v>
      </c>
      <c r="O587" s="4">
        <v>27</v>
      </c>
      <c r="P587" s="4">
        <v>14</v>
      </c>
      <c r="Q587" s="4">
        <v>11</v>
      </c>
      <c r="R587" s="4">
        <v>10</v>
      </c>
      <c r="S587" s="4">
        <v>30</v>
      </c>
      <c r="T587" s="4">
        <v>15</v>
      </c>
      <c r="U587" s="4">
        <v>16</v>
      </c>
      <c r="V587" s="4">
        <v>29</v>
      </c>
      <c r="W587" s="4">
        <v>8</v>
      </c>
      <c r="X587" s="4">
        <v>24</v>
      </c>
      <c r="Y587" s="4">
        <v>9</v>
      </c>
      <c r="Z587" s="4">
        <v>17</v>
      </c>
      <c r="AA587" s="4">
        <v>28</v>
      </c>
      <c r="AB587" s="4">
        <v>20</v>
      </c>
      <c r="AC587" s="4">
        <v>22</v>
      </c>
      <c r="AD587" s="4">
        <v>13</v>
      </c>
      <c r="AE587" s="4">
        <v>18</v>
      </c>
      <c r="AF587" s="4">
        <v>32</v>
      </c>
      <c r="AG587" s="4">
        <v>6</v>
      </c>
      <c r="AH587" s="4">
        <v>23</v>
      </c>
      <c r="AI587" s="4">
        <v>12</v>
      </c>
      <c r="AJ587" s="4">
        <v>21</v>
      </c>
      <c r="AK587" s="4">
        <v>31</v>
      </c>
      <c r="AL587" s="4">
        <v>26</v>
      </c>
    </row>
    <row r="588" spans="5:38" ht="16.149999999999999" thickBot="1" x14ac:dyDescent="0.55000000000000004">
      <c r="E588" s="101"/>
      <c r="F588" s="103"/>
      <c r="G588" s="4"/>
      <c r="H588" s="4"/>
      <c r="I588" s="4"/>
      <c r="J588" s="4"/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0</v>
      </c>
      <c r="S588" s="4">
        <v>0</v>
      </c>
      <c r="T588" s="4">
        <v>0</v>
      </c>
      <c r="U588" s="4">
        <v>0</v>
      </c>
      <c r="V588" s="4">
        <v>0</v>
      </c>
      <c r="W588" s="4">
        <v>0</v>
      </c>
      <c r="X588" s="4">
        <v>0</v>
      </c>
      <c r="Y588" s="4">
        <v>0</v>
      </c>
      <c r="Z588" s="4">
        <v>0</v>
      </c>
      <c r="AA588" s="4">
        <v>0</v>
      </c>
      <c r="AB588" s="4">
        <v>0</v>
      </c>
      <c r="AC588" s="4">
        <v>0</v>
      </c>
      <c r="AD588" s="4">
        <v>0</v>
      </c>
      <c r="AE588" s="4">
        <v>0</v>
      </c>
      <c r="AF588" s="4">
        <v>0</v>
      </c>
      <c r="AG588" s="4">
        <v>0</v>
      </c>
      <c r="AH588" s="4">
        <v>0</v>
      </c>
      <c r="AI588" s="4">
        <v>0</v>
      </c>
      <c r="AJ588" s="4">
        <v>0</v>
      </c>
      <c r="AK588" s="4">
        <v>0</v>
      </c>
      <c r="AL588" s="4">
        <v>0</v>
      </c>
    </row>
    <row r="589" spans="5:38" x14ac:dyDescent="0.5">
      <c r="E589" s="100">
        <v>1</v>
      </c>
      <c r="F589" s="98" t="s">
        <v>13</v>
      </c>
      <c r="G589" s="4">
        <v>3</v>
      </c>
      <c r="H589" s="4">
        <v>4</v>
      </c>
      <c r="I589" s="4">
        <v>2</v>
      </c>
      <c r="J589" s="4">
        <v>5</v>
      </c>
      <c r="K589" s="4">
        <v>25</v>
      </c>
      <c r="L589" s="4">
        <v>7</v>
      </c>
      <c r="M589" s="4">
        <v>19</v>
      </c>
      <c r="N589" s="4">
        <v>27</v>
      </c>
      <c r="O589" s="4">
        <v>14</v>
      </c>
      <c r="P589" s="4">
        <v>11</v>
      </c>
      <c r="Q589" s="4">
        <v>10</v>
      </c>
      <c r="R589" s="4">
        <v>30</v>
      </c>
      <c r="S589" s="4">
        <v>15</v>
      </c>
      <c r="T589" s="4">
        <v>16</v>
      </c>
      <c r="U589" s="4">
        <v>29</v>
      </c>
      <c r="V589" s="4">
        <v>8</v>
      </c>
      <c r="W589" s="4">
        <v>24</v>
      </c>
      <c r="X589" s="4">
        <v>9</v>
      </c>
      <c r="Y589" s="4">
        <v>17</v>
      </c>
      <c r="Z589" s="4">
        <v>28</v>
      </c>
      <c r="AA589" s="4">
        <v>20</v>
      </c>
      <c r="AB589" s="4">
        <v>22</v>
      </c>
      <c r="AC589" s="4">
        <v>13</v>
      </c>
      <c r="AD589" s="4">
        <v>18</v>
      </c>
      <c r="AE589" s="4">
        <v>32</v>
      </c>
      <c r="AF589" s="4">
        <v>6</v>
      </c>
      <c r="AG589" s="4">
        <v>23</v>
      </c>
      <c r="AH589" s="4">
        <v>12</v>
      </c>
      <c r="AI589" s="4">
        <v>21</v>
      </c>
      <c r="AJ589" s="4">
        <v>31</v>
      </c>
      <c r="AK589" s="4">
        <v>26</v>
      </c>
      <c r="AL589" s="4">
        <v>0</v>
      </c>
    </row>
    <row r="590" spans="5:38" ht="16.149999999999999" thickBot="1" x14ac:dyDescent="0.55000000000000004">
      <c r="E590" s="101"/>
      <c r="F590" s="99"/>
      <c r="G590" s="4">
        <v>1</v>
      </c>
      <c r="H590" s="4">
        <v>0</v>
      </c>
      <c r="I590" s="4">
        <v>0</v>
      </c>
      <c r="J590" s="4">
        <v>0</v>
      </c>
      <c r="K590" s="4">
        <v>0</v>
      </c>
      <c r="L590" s="4">
        <v>0</v>
      </c>
      <c r="M590" s="4">
        <v>0</v>
      </c>
      <c r="N590" s="4">
        <v>0</v>
      </c>
      <c r="O590" s="4">
        <v>0</v>
      </c>
      <c r="P590" s="4">
        <v>0</v>
      </c>
      <c r="Q590" s="4">
        <v>0</v>
      </c>
      <c r="R590" s="4">
        <v>0</v>
      </c>
      <c r="S590" s="4">
        <v>0</v>
      </c>
      <c r="T590" s="4">
        <v>0</v>
      </c>
      <c r="U590" s="4">
        <v>0</v>
      </c>
      <c r="V590" s="4">
        <v>0</v>
      </c>
      <c r="W590" s="4">
        <v>0</v>
      </c>
      <c r="X590" s="4">
        <v>0</v>
      </c>
      <c r="Y590" s="4">
        <v>0</v>
      </c>
      <c r="Z590" s="4">
        <v>0</v>
      </c>
      <c r="AA590" s="4">
        <v>0</v>
      </c>
      <c r="AB590" s="4">
        <v>0</v>
      </c>
      <c r="AC590" s="4">
        <v>0</v>
      </c>
      <c r="AD590" s="4">
        <v>0</v>
      </c>
      <c r="AE590" s="4">
        <v>0</v>
      </c>
      <c r="AF590" s="4">
        <v>0</v>
      </c>
      <c r="AG590" s="4">
        <v>0</v>
      </c>
      <c r="AH590" s="4">
        <v>0</v>
      </c>
      <c r="AI590" s="4">
        <v>0</v>
      </c>
      <c r="AJ590" s="4">
        <v>0</v>
      </c>
      <c r="AK590" s="4">
        <v>0</v>
      </c>
      <c r="AL590" s="4">
        <v>0</v>
      </c>
    </row>
    <row r="591" spans="5:38" x14ac:dyDescent="0.5">
      <c r="E591" s="100">
        <v>2</v>
      </c>
      <c r="F591" s="98" t="s">
        <v>13</v>
      </c>
      <c r="G591" s="4">
        <v>4</v>
      </c>
      <c r="H591" s="4">
        <v>2</v>
      </c>
      <c r="I591" s="4">
        <v>5</v>
      </c>
      <c r="J591" s="4">
        <v>25</v>
      </c>
      <c r="K591" s="4">
        <v>7</v>
      </c>
      <c r="L591" s="4">
        <v>19</v>
      </c>
      <c r="M591" s="4">
        <v>27</v>
      </c>
      <c r="N591" s="4">
        <v>14</v>
      </c>
      <c r="O591" s="4">
        <v>11</v>
      </c>
      <c r="P591" s="4">
        <v>10</v>
      </c>
      <c r="Q591" s="4">
        <v>30</v>
      </c>
      <c r="R591" s="4">
        <v>15</v>
      </c>
      <c r="S591" s="4">
        <v>16</v>
      </c>
      <c r="T591" s="4">
        <v>29</v>
      </c>
      <c r="U591" s="4">
        <v>8</v>
      </c>
      <c r="V591" s="4">
        <v>24</v>
      </c>
      <c r="W591" s="4">
        <v>9</v>
      </c>
      <c r="X591" s="4">
        <v>17</v>
      </c>
      <c r="Y591" s="4">
        <v>28</v>
      </c>
      <c r="Z591" s="4">
        <v>20</v>
      </c>
      <c r="AA591" s="4">
        <v>22</v>
      </c>
      <c r="AB591" s="4">
        <v>13</v>
      </c>
      <c r="AC591" s="4">
        <v>18</v>
      </c>
      <c r="AD591" s="4">
        <v>32</v>
      </c>
      <c r="AE591" s="4">
        <v>6</v>
      </c>
      <c r="AF591" s="4">
        <v>23</v>
      </c>
      <c r="AG591" s="4">
        <v>12</v>
      </c>
      <c r="AH591" s="4">
        <v>21</v>
      </c>
      <c r="AI591" s="4">
        <v>31</v>
      </c>
      <c r="AJ591" s="4">
        <v>26</v>
      </c>
      <c r="AK591" s="4">
        <v>0</v>
      </c>
      <c r="AL591" s="4">
        <v>0</v>
      </c>
    </row>
    <row r="592" spans="5:38" ht="16.149999999999999" thickBot="1" x14ac:dyDescent="0.55000000000000004">
      <c r="E592" s="101"/>
      <c r="F592" s="99"/>
      <c r="G592" s="4">
        <v>3</v>
      </c>
      <c r="H592" s="4">
        <v>1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0</v>
      </c>
      <c r="R592" s="4">
        <v>0</v>
      </c>
      <c r="S592" s="4">
        <v>0</v>
      </c>
      <c r="T592" s="4">
        <v>0</v>
      </c>
      <c r="U592" s="4">
        <v>0</v>
      </c>
      <c r="V592" s="4">
        <v>0</v>
      </c>
      <c r="W592" s="4">
        <v>0</v>
      </c>
      <c r="X592" s="4">
        <v>0</v>
      </c>
      <c r="Y592" s="4">
        <v>0</v>
      </c>
      <c r="Z592" s="4">
        <v>0</v>
      </c>
      <c r="AA592" s="4">
        <v>0</v>
      </c>
      <c r="AB592" s="4">
        <v>0</v>
      </c>
      <c r="AC592" s="4">
        <v>0</v>
      </c>
      <c r="AD592" s="4">
        <v>0</v>
      </c>
      <c r="AE592" s="4">
        <v>0</v>
      </c>
      <c r="AF592" s="4">
        <v>0</v>
      </c>
      <c r="AG592" s="4">
        <v>0</v>
      </c>
      <c r="AH592" s="4">
        <v>0</v>
      </c>
      <c r="AI592" s="4">
        <v>0</v>
      </c>
      <c r="AJ592" s="4">
        <v>0</v>
      </c>
      <c r="AK592" s="4">
        <v>0</v>
      </c>
      <c r="AL592" s="4">
        <v>0</v>
      </c>
    </row>
    <row r="593" spans="5:38" x14ac:dyDescent="0.5">
      <c r="E593" s="100">
        <v>3</v>
      </c>
      <c r="F593" s="98" t="s">
        <v>13</v>
      </c>
      <c r="G593" s="4">
        <v>2</v>
      </c>
      <c r="H593" s="4">
        <v>5</v>
      </c>
      <c r="I593" s="4">
        <v>25</v>
      </c>
      <c r="J593" s="4">
        <v>7</v>
      </c>
      <c r="K593" s="4">
        <v>19</v>
      </c>
      <c r="L593" s="4">
        <v>27</v>
      </c>
      <c r="M593" s="4">
        <v>14</v>
      </c>
      <c r="N593" s="4">
        <v>11</v>
      </c>
      <c r="O593" s="4">
        <v>10</v>
      </c>
      <c r="P593" s="4">
        <v>30</v>
      </c>
      <c r="Q593" s="4">
        <v>15</v>
      </c>
      <c r="R593" s="4">
        <v>16</v>
      </c>
      <c r="S593" s="4">
        <v>29</v>
      </c>
      <c r="T593" s="4">
        <v>8</v>
      </c>
      <c r="U593" s="4">
        <v>24</v>
      </c>
      <c r="V593" s="4">
        <v>9</v>
      </c>
      <c r="W593" s="4">
        <v>17</v>
      </c>
      <c r="X593" s="4">
        <v>28</v>
      </c>
      <c r="Y593" s="4">
        <v>20</v>
      </c>
      <c r="Z593" s="4">
        <v>22</v>
      </c>
      <c r="AA593" s="4">
        <v>13</v>
      </c>
      <c r="AB593" s="4">
        <v>18</v>
      </c>
      <c r="AC593" s="4">
        <v>32</v>
      </c>
      <c r="AD593" s="4">
        <v>6</v>
      </c>
      <c r="AE593" s="4">
        <v>23</v>
      </c>
      <c r="AF593" s="4">
        <v>12</v>
      </c>
      <c r="AG593" s="4">
        <v>21</v>
      </c>
      <c r="AH593" s="4">
        <v>31</v>
      </c>
      <c r="AI593" s="4">
        <v>26</v>
      </c>
      <c r="AJ593" s="4">
        <v>0</v>
      </c>
      <c r="AK593" s="4">
        <v>0</v>
      </c>
      <c r="AL593" s="4">
        <v>0</v>
      </c>
    </row>
    <row r="594" spans="5:38" ht="16.149999999999999" thickBot="1" x14ac:dyDescent="0.55000000000000004">
      <c r="E594" s="101"/>
      <c r="F594" s="99"/>
      <c r="G594" s="4">
        <v>4</v>
      </c>
      <c r="H594" s="4">
        <v>3</v>
      </c>
      <c r="I594" s="4">
        <v>1</v>
      </c>
      <c r="J594" s="4">
        <v>0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4">
        <v>0</v>
      </c>
      <c r="T594" s="4">
        <v>0</v>
      </c>
      <c r="U594" s="4">
        <v>0</v>
      </c>
      <c r="V594" s="4">
        <v>0</v>
      </c>
      <c r="W594" s="4">
        <v>0</v>
      </c>
      <c r="X594" s="4">
        <v>0</v>
      </c>
      <c r="Y594" s="4">
        <v>0</v>
      </c>
      <c r="Z594" s="4">
        <v>0</v>
      </c>
      <c r="AA594" s="4">
        <v>0</v>
      </c>
      <c r="AB594" s="4">
        <v>0</v>
      </c>
      <c r="AC594" s="4">
        <v>0</v>
      </c>
      <c r="AD594" s="4">
        <v>0</v>
      </c>
      <c r="AE594" s="4">
        <v>0</v>
      </c>
      <c r="AF594" s="4">
        <v>0</v>
      </c>
      <c r="AG594" s="4">
        <v>0</v>
      </c>
      <c r="AH594" s="4">
        <v>0</v>
      </c>
      <c r="AI594" s="4">
        <v>0</v>
      </c>
      <c r="AJ594" s="4">
        <v>0</v>
      </c>
      <c r="AK594" s="4">
        <v>0</v>
      </c>
      <c r="AL594" s="4">
        <v>0</v>
      </c>
    </row>
    <row r="595" spans="5:38" x14ac:dyDescent="0.5">
      <c r="E595" s="100">
        <v>4</v>
      </c>
      <c r="F595" s="98" t="s">
        <v>16</v>
      </c>
      <c r="G595" s="4">
        <v>2</v>
      </c>
      <c r="H595" s="4">
        <v>5</v>
      </c>
      <c r="I595" s="4">
        <v>25</v>
      </c>
      <c r="J595" s="4">
        <v>7</v>
      </c>
      <c r="K595" s="4">
        <v>19</v>
      </c>
      <c r="L595" s="4">
        <v>27</v>
      </c>
      <c r="M595" s="4">
        <v>14</v>
      </c>
      <c r="N595" s="4">
        <v>11</v>
      </c>
      <c r="O595" s="4">
        <v>10</v>
      </c>
      <c r="P595" s="4">
        <v>30</v>
      </c>
      <c r="Q595" s="4">
        <v>15</v>
      </c>
      <c r="R595" s="4">
        <v>16</v>
      </c>
      <c r="S595" s="4">
        <v>29</v>
      </c>
      <c r="T595" s="4">
        <v>8</v>
      </c>
      <c r="U595" s="4">
        <v>24</v>
      </c>
      <c r="V595" s="4">
        <v>9</v>
      </c>
      <c r="W595" s="4">
        <v>17</v>
      </c>
      <c r="X595" s="4">
        <v>28</v>
      </c>
      <c r="Y595" s="4">
        <v>20</v>
      </c>
      <c r="Z595" s="4">
        <v>22</v>
      </c>
      <c r="AA595" s="4">
        <v>13</v>
      </c>
      <c r="AB595" s="4">
        <v>18</v>
      </c>
      <c r="AC595" s="4">
        <v>32</v>
      </c>
      <c r="AD595" s="4">
        <v>6</v>
      </c>
      <c r="AE595" s="4">
        <v>23</v>
      </c>
      <c r="AF595" s="4">
        <v>12</v>
      </c>
      <c r="AG595" s="4">
        <v>21</v>
      </c>
      <c r="AH595" s="4">
        <v>31</v>
      </c>
      <c r="AI595" s="4">
        <v>26</v>
      </c>
      <c r="AJ595" s="4">
        <v>0</v>
      </c>
      <c r="AK595" s="4">
        <v>0</v>
      </c>
      <c r="AL595" s="4">
        <v>0</v>
      </c>
    </row>
    <row r="596" spans="5:38" ht="16.149999999999999" thickBot="1" x14ac:dyDescent="0.55000000000000004">
      <c r="E596" s="101"/>
      <c r="F596" s="99"/>
      <c r="G596" s="4">
        <v>1</v>
      </c>
      <c r="H596" s="4">
        <v>4</v>
      </c>
      <c r="I596" s="4">
        <v>3</v>
      </c>
      <c r="J596" s="4">
        <v>0</v>
      </c>
      <c r="K596" s="4">
        <v>0</v>
      </c>
      <c r="L596" s="4">
        <v>0</v>
      </c>
      <c r="M596" s="4">
        <v>0</v>
      </c>
      <c r="N596" s="4">
        <v>0</v>
      </c>
      <c r="O596" s="4">
        <v>0</v>
      </c>
      <c r="P596" s="4">
        <v>0</v>
      </c>
      <c r="Q596" s="4">
        <v>0</v>
      </c>
      <c r="R596" s="4">
        <v>0</v>
      </c>
      <c r="S596" s="4">
        <v>0</v>
      </c>
      <c r="T596" s="4">
        <v>0</v>
      </c>
      <c r="U596" s="4">
        <v>0</v>
      </c>
      <c r="V596" s="4">
        <v>0</v>
      </c>
      <c r="W596" s="4">
        <v>0</v>
      </c>
      <c r="X596" s="4">
        <v>0</v>
      </c>
      <c r="Y596" s="4">
        <v>0</v>
      </c>
      <c r="Z596" s="4">
        <v>0</v>
      </c>
      <c r="AA596" s="4">
        <v>0</v>
      </c>
      <c r="AB596" s="4">
        <v>0</v>
      </c>
      <c r="AC596" s="4">
        <v>0</v>
      </c>
      <c r="AD596" s="4">
        <v>0</v>
      </c>
      <c r="AE596" s="4">
        <v>0</v>
      </c>
      <c r="AF596" s="4">
        <v>0</v>
      </c>
      <c r="AG596" s="4">
        <v>0</v>
      </c>
      <c r="AH596" s="4">
        <v>0</v>
      </c>
      <c r="AI596" s="4">
        <v>0</v>
      </c>
      <c r="AJ596" s="4">
        <v>0</v>
      </c>
      <c r="AK596" s="4">
        <v>0</v>
      </c>
      <c r="AL596" s="4">
        <v>0</v>
      </c>
    </row>
    <row r="597" spans="5:38" x14ac:dyDescent="0.5">
      <c r="E597" s="100">
        <v>5</v>
      </c>
      <c r="F597" s="98" t="s">
        <v>13</v>
      </c>
      <c r="G597" s="4">
        <v>5</v>
      </c>
      <c r="H597" s="4">
        <v>25</v>
      </c>
      <c r="I597" s="4">
        <v>7</v>
      </c>
      <c r="J597" s="4">
        <v>19</v>
      </c>
      <c r="K597" s="4">
        <v>27</v>
      </c>
      <c r="L597" s="4">
        <v>14</v>
      </c>
      <c r="M597" s="4">
        <v>11</v>
      </c>
      <c r="N597" s="4">
        <v>10</v>
      </c>
      <c r="O597" s="4">
        <v>30</v>
      </c>
      <c r="P597" s="4">
        <v>15</v>
      </c>
      <c r="Q597" s="4">
        <v>16</v>
      </c>
      <c r="R597" s="4">
        <v>29</v>
      </c>
      <c r="S597" s="4">
        <v>8</v>
      </c>
      <c r="T597" s="4">
        <v>24</v>
      </c>
      <c r="U597" s="4">
        <v>9</v>
      </c>
      <c r="V597" s="4">
        <v>17</v>
      </c>
      <c r="W597" s="4">
        <v>28</v>
      </c>
      <c r="X597" s="4">
        <v>20</v>
      </c>
      <c r="Y597" s="4">
        <v>22</v>
      </c>
      <c r="Z597" s="4">
        <v>13</v>
      </c>
      <c r="AA597" s="4">
        <v>18</v>
      </c>
      <c r="AB597" s="4">
        <v>32</v>
      </c>
      <c r="AC597" s="4">
        <v>6</v>
      </c>
      <c r="AD597" s="4">
        <v>23</v>
      </c>
      <c r="AE597" s="4">
        <v>12</v>
      </c>
      <c r="AF597" s="4">
        <v>21</v>
      </c>
      <c r="AG597" s="4">
        <v>31</v>
      </c>
      <c r="AH597" s="4">
        <v>26</v>
      </c>
      <c r="AI597" s="4">
        <v>0</v>
      </c>
      <c r="AJ597" s="4">
        <v>0</v>
      </c>
      <c r="AK597" s="4">
        <v>0</v>
      </c>
      <c r="AL597" s="4">
        <v>0</v>
      </c>
    </row>
    <row r="598" spans="5:38" ht="16.149999999999999" thickBot="1" x14ac:dyDescent="0.55000000000000004">
      <c r="E598" s="101"/>
      <c r="F598" s="99"/>
      <c r="G598" s="4">
        <v>2</v>
      </c>
      <c r="H598" s="4">
        <v>1</v>
      </c>
      <c r="I598" s="4">
        <v>4</v>
      </c>
      <c r="J598" s="4">
        <v>3</v>
      </c>
      <c r="K598" s="4">
        <v>0</v>
      </c>
      <c r="L598" s="4">
        <v>0</v>
      </c>
      <c r="M598" s="4">
        <v>0</v>
      </c>
      <c r="N598" s="4">
        <v>0</v>
      </c>
      <c r="O598" s="4">
        <v>0</v>
      </c>
      <c r="P598" s="4">
        <v>0</v>
      </c>
      <c r="Q598" s="4">
        <v>0</v>
      </c>
      <c r="R598" s="4">
        <v>0</v>
      </c>
      <c r="S598" s="4">
        <v>0</v>
      </c>
      <c r="T598" s="4">
        <v>0</v>
      </c>
      <c r="U598" s="4">
        <v>0</v>
      </c>
      <c r="V598" s="4">
        <v>0</v>
      </c>
      <c r="W598" s="4">
        <v>0</v>
      </c>
      <c r="X598" s="4">
        <v>0</v>
      </c>
      <c r="Y598" s="4">
        <v>0</v>
      </c>
      <c r="Z598" s="4">
        <v>0</v>
      </c>
      <c r="AA598" s="4">
        <v>0</v>
      </c>
      <c r="AB598" s="4">
        <v>0</v>
      </c>
      <c r="AC598" s="4">
        <v>0</v>
      </c>
      <c r="AD598" s="4">
        <v>0</v>
      </c>
      <c r="AE598" s="4">
        <v>0</v>
      </c>
      <c r="AF598" s="4">
        <v>0</v>
      </c>
      <c r="AG598" s="4">
        <v>0</v>
      </c>
      <c r="AH598" s="4">
        <v>0</v>
      </c>
      <c r="AI598" s="4">
        <v>0</v>
      </c>
      <c r="AJ598" s="4">
        <v>0</v>
      </c>
      <c r="AK598" s="4">
        <v>0</v>
      </c>
      <c r="AL598" s="4">
        <v>0</v>
      </c>
    </row>
    <row r="599" spans="5:38" x14ac:dyDescent="0.5">
      <c r="E599" s="100">
        <v>6</v>
      </c>
      <c r="F599" s="98" t="s">
        <v>14</v>
      </c>
      <c r="G599" s="4">
        <v>5</v>
      </c>
      <c r="H599" s="4">
        <v>25</v>
      </c>
      <c r="I599" s="4">
        <v>7</v>
      </c>
      <c r="J599" s="4">
        <v>19</v>
      </c>
      <c r="K599" s="4">
        <v>27</v>
      </c>
      <c r="L599" s="4">
        <v>14</v>
      </c>
      <c r="M599" s="4">
        <v>11</v>
      </c>
      <c r="N599" s="4">
        <v>10</v>
      </c>
      <c r="O599" s="4">
        <v>30</v>
      </c>
      <c r="P599" s="4">
        <v>15</v>
      </c>
      <c r="Q599" s="4">
        <v>16</v>
      </c>
      <c r="R599" s="4">
        <v>29</v>
      </c>
      <c r="S599" s="4">
        <v>8</v>
      </c>
      <c r="T599" s="4">
        <v>24</v>
      </c>
      <c r="U599" s="4">
        <v>9</v>
      </c>
      <c r="V599" s="4">
        <v>17</v>
      </c>
      <c r="W599" s="4">
        <v>28</v>
      </c>
      <c r="X599" s="4">
        <v>20</v>
      </c>
      <c r="Y599" s="4">
        <v>22</v>
      </c>
      <c r="Z599" s="4">
        <v>13</v>
      </c>
      <c r="AA599" s="4">
        <v>18</v>
      </c>
      <c r="AB599" s="4">
        <v>32</v>
      </c>
      <c r="AC599" s="4">
        <v>6</v>
      </c>
      <c r="AD599" s="4">
        <v>23</v>
      </c>
      <c r="AE599" s="4">
        <v>12</v>
      </c>
      <c r="AF599" s="4">
        <v>21</v>
      </c>
      <c r="AG599" s="4">
        <v>31</v>
      </c>
      <c r="AH599" s="4">
        <v>26</v>
      </c>
      <c r="AI599" s="4">
        <v>0</v>
      </c>
      <c r="AJ599" s="4">
        <v>0</v>
      </c>
      <c r="AK599" s="4">
        <v>0</v>
      </c>
      <c r="AL599" s="4">
        <v>0</v>
      </c>
    </row>
    <row r="600" spans="5:38" ht="16.149999999999999" thickBot="1" x14ac:dyDescent="0.55000000000000004">
      <c r="E600" s="101"/>
      <c r="F600" s="99"/>
      <c r="G600" s="4">
        <v>1</v>
      </c>
      <c r="H600" s="4">
        <v>4</v>
      </c>
      <c r="I600" s="4">
        <v>3</v>
      </c>
      <c r="J600" s="4">
        <v>2</v>
      </c>
      <c r="K600" s="4">
        <v>0</v>
      </c>
      <c r="L600" s="4">
        <v>0</v>
      </c>
      <c r="M600" s="4">
        <v>0</v>
      </c>
      <c r="N600" s="4">
        <v>0</v>
      </c>
      <c r="O600" s="4">
        <v>0</v>
      </c>
      <c r="P600" s="4">
        <v>0</v>
      </c>
      <c r="Q600" s="4">
        <v>0</v>
      </c>
      <c r="R600" s="4">
        <v>0</v>
      </c>
      <c r="S600" s="4">
        <v>0</v>
      </c>
      <c r="T600" s="4">
        <v>0</v>
      </c>
      <c r="U600" s="4">
        <v>0</v>
      </c>
      <c r="V600" s="4">
        <v>0</v>
      </c>
      <c r="W600" s="4">
        <v>0</v>
      </c>
      <c r="X600" s="4">
        <v>0</v>
      </c>
      <c r="Y600" s="4">
        <v>0</v>
      </c>
      <c r="Z600" s="4">
        <v>0</v>
      </c>
      <c r="AA600" s="4">
        <v>0</v>
      </c>
      <c r="AB600" s="4">
        <v>0</v>
      </c>
      <c r="AC600" s="4">
        <v>0</v>
      </c>
      <c r="AD600" s="4">
        <v>0</v>
      </c>
      <c r="AE600" s="4">
        <v>0</v>
      </c>
      <c r="AF600" s="4">
        <v>0</v>
      </c>
      <c r="AG600" s="4">
        <v>0</v>
      </c>
      <c r="AH600" s="4">
        <v>0</v>
      </c>
      <c r="AI600" s="4">
        <v>0</v>
      </c>
      <c r="AJ600" s="4">
        <v>0</v>
      </c>
      <c r="AK600" s="4">
        <v>0</v>
      </c>
      <c r="AL600" s="4">
        <v>0</v>
      </c>
    </row>
    <row r="601" spans="5:38" x14ac:dyDescent="0.5">
      <c r="E601" s="100">
        <v>7</v>
      </c>
      <c r="F601" s="98" t="s">
        <v>14</v>
      </c>
      <c r="G601" s="4">
        <v>5</v>
      </c>
      <c r="H601" s="4">
        <v>25</v>
      </c>
      <c r="I601" s="4">
        <v>7</v>
      </c>
      <c r="J601" s="4">
        <v>19</v>
      </c>
      <c r="K601" s="4">
        <v>27</v>
      </c>
      <c r="L601" s="4">
        <v>14</v>
      </c>
      <c r="M601" s="4">
        <v>11</v>
      </c>
      <c r="N601" s="4">
        <v>10</v>
      </c>
      <c r="O601" s="4">
        <v>30</v>
      </c>
      <c r="P601" s="4">
        <v>15</v>
      </c>
      <c r="Q601" s="4">
        <v>16</v>
      </c>
      <c r="R601" s="4">
        <v>29</v>
      </c>
      <c r="S601" s="4">
        <v>8</v>
      </c>
      <c r="T601" s="4">
        <v>24</v>
      </c>
      <c r="U601" s="4">
        <v>9</v>
      </c>
      <c r="V601" s="4">
        <v>17</v>
      </c>
      <c r="W601" s="4">
        <v>28</v>
      </c>
      <c r="X601" s="4">
        <v>20</v>
      </c>
      <c r="Y601" s="4">
        <v>22</v>
      </c>
      <c r="Z601" s="4">
        <v>13</v>
      </c>
      <c r="AA601" s="4">
        <v>18</v>
      </c>
      <c r="AB601" s="4">
        <v>32</v>
      </c>
      <c r="AC601" s="4">
        <v>6</v>
      </c>
      <c r="AD601" s="4">
        <v>23</v>
      </c>
      <c r="AE601" s="4">
        <v>12</v>
      </c>
      <c r="AF601" s="4">
        <v>21</v>
      </c>
      <c r="AG601" s="4">
        <v>31</v>
      </c>
      <c r="AH601" s="4">
        <v>26</v>
      </c>
      <c r="AI601" s="4">
        <v>0</v>
      </c>
      <c r="AJ601" s="4">
        <v>0</v>
      </c>
      <c r="AK601" s="4">
        <v>0</v>
      </c>
      <c r="AL601" s="4">
        <v>0</v>
      </c>
    </row>
    <row r="602" spans="5:38" ht="16.149999999999999" thickBot="1" x14ac:dyDescent="0.55000000000000004">
      <c r="E602" s="101"/>
      <c r="F602" s="99"/>
      <c r="G602" s="4">
        <v>4</v>
      </c>
      <c r="H602" s="4">
        <v>3</v>
      </c>
      <c r="I602" s="4">
        <v>2</v>
      </c>
      <c r="J602" s="4">
        <v>1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4">
        <v>0</v>
      </c>
      <c r="T602" s="4">
        <v>0</v>
      </c>
      <c r="U602" s="4">
        <v>0</v>
      </c>
      <c r="V602" s="4">
        <v>0</v>
      </c>
      <c r="W602" s="4">
        <v>0</v>
      </c>
      <c r="X602" s="4">
        <v>0</v>
      </c>
      <c r="Y602" s="4">
        <v>0</v>
      </c>
      <c r="Z602" s="4">
        <v>0</v>
      </c>
      <c r="AA602" s="4">
        <v>0</v>
      </c>
      <c r="AB602" s="4">
        <v>0</v>
      </c>
      <c r="AC602" s="4">
        <v>0</v>
      </c>
      <c r="AD602" s="4">
        <v>0</v>
      </c>
      <c r="AE602" s="4">
        <v>0</v>
      </c>
      <c r="AF602" s="4">
        <v>0</v>
      </c>
      <c r="AG602" s="4">
        <v>0</v>
      </c>
      <c r="AH602" s="4">
        <v>0</v>
      </c>
      <c r="AI602" s="4">
        <v>0</v>
      </c>
      <c r="AJ602" s="4">
        <v>0</v>
      </c>
      <c r="AK602" s="4">
        <v>0</v>
      </c>
      <c r="AL602" s="4">
        <v>0</v>
      </c>
    </row>
    <row r="603" spans="5:38" x14ac:dyDescent="0.5">
      <c r="E603" s="100">
        <v>8</v>
      </c>
      <c r="F603" s="98" t="s">
        <v>13</v>
      </c>
      <c r="G603" s="4">
        <v>25</v>
      </c>
      <c r="H603" s="4">
        <v>7</v>
      </c>
      <c r="I603" s="4">
        <v>19</v>
      </c>
      <c r="J603" s="4">
        <v>27</v>
      </c>
      <c r="K603" s="4">
        <v>14</v>
      </c>
      <c r="L603" s="4">
        <v>11</v>
      </c>
      <c r="M603" s="4">
        <v>10</v>
      </c>
      <c r="N603" s="4">
        <v>30</v>
      </c>
      <c r="O603" s="4">
        <v>15</v>
      </c>
      <c r="P603" s="4">
        <v>16</v>
      </c>
      <c r="Q603" s="4">
        <v>29</v>
      </c>
      <c r="R603" s="4">
        <v>8</v>
      </c>
      <c r="S603" s="4">
        <v>24</v>
      </c>
      <c r="T603" s="4">
        <v>9</v>
      </c>
      <c r="U603" s="4">
        <v>17</v>
      </c>
      <c r="V603" s="4">
        <v>28</v>
      </c>
      <c r="W603" s="4">
        <v>20</v>
      </c>
      <c r="X603" s="4">
        <v>22</v>
      </c>
      <c r="Y603" s="4">
        <v>13</v>
      </c>
      <c r="Z603" s="4">
        <v>18</v>
      </c>
      <c r="AA603" s="4">
        <v>32</v>
      </c>
      <c r="AB603" s="4">
        <v>6</v>
      </c>
      <c r="AC603" s="4">
        <v>23</v>
      </c>
      <c r="AD603" s="4">
        <v>12</v>
      </c>
      <c r="AE603" s="4">
        <v>21</v>
      </c>
      <c r="AF603" s="4">
        <v>31</v>
      </c>
      <c r="AG603" s="4">
        <v>26</v>
      </c>
      <c r="AH603" s="4">
        <v>0</v>
      </c>
      <c r="AI603" s="4">
        <v>0</v>
      </c>
      <c r="AJ603" s="4">
        <v>0</v>
      </c>
      <c r="AK603" s="4">
        <v>0</v>
      </c>
      <c r="AL603" s="4">
        <v>0</v>
      </c>
    </row>
    <row r="604" spans="5:38" ht="16.149999999999999" thickBot="1" x14ac:dyDescent="0.55000000000000004">
      <c r="E604" s="101"/>
      <c r="F604" s="99"/>
      <c r="G604" s="4">
        <v>5</v>
      </c>
      <c r="H604" s="4">
        <v>4</v>
      </c>
      <c r="I604" s="4">
        <v>3</v>
      </c>
      <c r="J604" s="4">
        <v>2</v>
      </c>
      <c r="K604" s="4">
        <v>1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0</v>
      </c>
      <c r="S604" s="4">
        <v>0</v>
      </c>
      <c r="T604" s="4">
        <v>0</v>
      </c>
      <c r="U604" s="4">
        <v>0</v>
      </c>
      <c r="V604" s="4">
        <v>0</v>
      </c>
      <c r="W604" s="4">
        <v>0</v>
      </c>
      <c r="X604" s="4">
        <v>0</v>
      </c>
      <c r="Y604" s="4">
        <v>0</v>
      </c>
      <c r="Z604" s="4">
        <v>0</v>
      </c>
      <c r="AA604" s="4">
        <v>0</v>
      </c>
      <c r="AB604" s="4">
        <v>0</v>
      </c>
      <c r="AC604" s="4">
        <v>0</v>
      </c>
      <c r="AD604" s="4">
        <v>0</v>
      </c>
      <c r="AE604" s="4">
        <v>0</v>
      </c>
      <c r="AF604" s="4">
        <v>0</v>
      </c>
      <c r="AG604" s="4">
        <v>0</v>
      </c>
      <c r="AH604" s="4">
        <v>0</v>
      </c>
      <c r="AI604" s="4">
        <v>0</v>
      </c>
      <c r="AJ604" s="4">
        <v>0</v>
      </c>
      <c r="AK604" s="4">
        <v>0</v>
      </c>
      <c r="AL604" s="4">
        <v>0</v>
      </c>
    </row>
    <row r="606" spans="5:38" ht="16.149999999999999" thickBot="1" x14ac:dyDescent="0.55000000000000004"/>
    <row r="607" spans="5:38" x14ac:dyDescent="0.5">
      <c r="E607" s="100">
        <v>0</v>
      </c>
      <c r="F607" s="102" t="s">
        <v>11</v>
      </c>
      <c r="G607" s="4">
        <v>1</v>
      </c>
      <c r="H607" s="4">
        <v>3</v>
      </c>
      <c r="I607" s="4">
        <v>5</v>
      </c>
      <c r="J607" s="4">
        <v>2</v>
      </c>
      <c r="K607" s="4">
        <v>4</v>
      </c>
      <c r="L607" s="4">
        <v>25</v>
      </c>
      <c r="M607" s="4">
        <v>7</v>
      </c>
      <c r="N607" s="4">
        <v>19</v>
      </c>
      <c r="O607" s="4">
        <v>27</v>
      </c>
      <c r="P607" s="4">
        <v>14</v>
      </c>
      <c r="Q607" s="4">
        <v>11</v>
      </c>
      <c r="R607" s="4">
        <v>10</v>
      </c>
      <c r="S607" s="4">
        <v>30</v>
      </c>
      <c r="T607" s="4">
        <v>15</v>
      </c>
      <c r="U607" s="4">
        <v>16</v>
      </c>
      <c r="V607" s="4">
        <v>29</v>
      </c>
      <c r="W607" s="4">
        <v>8</v>
      </c>
      <c r="X607" s="4">
        <v>24</v>
      </c>
      <c r="Y607" s="4">
        <v>9</v>
      </c>
      <c r="Z607" s="4">
        <v>17</v>
      </c>
      <c r="AA607" s="4">
        <v>28</v>
      </c>
      <c r="AB607" s="4">
        <v>20</v>
      </c>
      <c r="AC607" s="4">
        <v>22</v>
      </c>
      <c r="AD607" s="4">
        <v>13</v>
      </c>
      <c r="AE607" s="4">
        <v>18</v>
      </c>
      <c r="AF607" s="4">
        <v>32</v>
      </c>
      <c r="AG607" s="4">
        <v>6</v>
      </c>
      <c r="AH607" s="4">
        <v>23</v>
      </c>
      <c r="AI607" s="4">
        <v>12</v>
      </c>
      <c r="AJ607" s="4">
        <v>21</v>
      </c>
      <c r="AK607" s="4">
        <v>31</v>
      </c>
      <c r="AL607" s="4">
        <v>26</v>
      </c>
    </row>
    <row r="608" spans="5:38" ht="16.149999999999999" thickBot="1" x14ac:dyDescent="0.55000000000000004">
      <c r="E608" s="101"/>
      <c r="F608" s="103"/>
      <c r="G608" s="4"/>
      <c r="H608" s="4"/>
      <c r="I608" s="4"/>
      <c r="J608" s="4"/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0</v>
      </c>
      <c r="S608" s="4">
        <v>0</v>
      </c>
      <c r="T608" s="4">
        <v>0</v>
      </c>
      <c r="U608" s="4">
        <v>0</v>
      </c>
      <c r="V608" s="4">
        <v>0</v>
      </c>
      <c r="W608" s="4">
        <v>0</v>
      </c>
      <c r="X608" s="4">
        <v>0</v>
      </c>
      <c r="Y608" s="4">
        <v>0</v>
      </c>
      <c r="Z608" s="4">
        <v>0</v>
      </c>
      <c r="AA608" s="4">
        <v>0</v>
      </c>
      <c r="AB608" s="4">
        <v>0</v>
      </c>
      <c r="AC608" s="4">
        <v>0</v>
      </c>
      <c r="AD608" s="4">
        <v>0</v>
      </c>
      <c r="AE608" s="4">
        <v>0</v>
      </c>
      <c r="AF608" s="4">
        <v>0</v>
      </c>
      <c r="AG608" s="4">
        <v>0</v>
      </c>
      <c r="AH608" s="4">
        <v>0</v>
      </c>
      <c r="AI608" s="4">
        <v>0</v>
      </c>
      <c r="AJ608" s="4">
        <v>0</v>
      </c>
      <c r="AK608" s="4">
        <v>0</v>
      </c>
      <c r="AL608" s="4">
        <v>0</v>
      </c>
    </row>
    <row r="609" spans="5:38" x14ac:dyDescent="0.5">
      <c r="E609" s="100">
        <v>1</v>
      </c>
      <c r="F609" s="98" t="s">
        <v>13</v>
      </c>
      <c r="G609" s="4">
        <v>3</v>
      </c>
      <c r="H609" s="4">
        <v>5</v>
      </c>
      <c r="I609" s="4">
        <v>2</v>
      </c>
      <c r="J609" s="4">
        <v>4</v>
      </c>
      <c r="K609" s="4">
        <v>25</v>
      </c>
      <c r="L609" s="4">
        <v>7</v>
      </c>
      <c r="M609" s="4">
        <v>19</v>
      </c>
      <c r="N609" s="4">
        <v>27</v>
      </c>
      <c r="O609" s="4">
        <v>14</v>
      </c>
      <c r="P609" s="4">
        <v>11</v>
      </c>
      <c r="Q609" s="4">
        <v>10</v>
      </c>
      <c r="R609" s="4">
        <v>30</v>
      </c>
      <c r="S609" s="4">
        <v>15</v>
      </c>
      <c r="T609" s="4">
        <v>16</v>
      </c>
      <c r="U609" s="4">
        <v>29</v>
      </c>
      <c r="V609" s="4">
        <v>8</v>
      </c>
      <c r="W609" s="4">
        <v>24</v>
      </c>
      <c r="X609" s="4">
        <v>9</v>
      </c>
      <c r="Y609" s="4">
        <v>17</v>
      </c>
      <c r="Z609" s="4">
        <v>28</v>
      </c>
      <c r="AA609" s="4">
        <v>20</v>
      </c>
      <c r="AB609" s="4">
        <v>22</v>
      </c>
      <c r="AC609" s="4">
        <v>13</v>
      </c>
      <c r="AD609" s="4">
        <v>18</v>
      </c>
      <c r="AE609" s="4">
        <v>32</v>
      </c>
      <c r="AF609" s="4">
        <v>6</v>
      </c>
      <c r="AG609" s="4">
        <v>23</v>
      </c>
      <c r="AH609" s="4">
        <v>12</v>
      </c>
      <c r="AI609" s="4">
        <v>21</v>
      </c>
      <c r="AJ609" s="4">
        <v>31</v>
      </c>
      <c r="AK609" s="4">
        <v>26</v>
      </c>
      <c r="AL609" s="4">
        <v>0</v>
      </c>
    </row>
    <row r="610" spans="5:38" ht="16.149999999999999" thickBot="1" x14ac:dyDescent="0.55000000000000004">
      <c r="E610" s="101"/>
      <c r="F610" s="99"/>
      <c r="G610" s="4">
        <v>1</v>
      </c>
      <c r="H610" s="4">
        <v>0</v>
      </c>
      <c r="I610" s="4">
        <v>0</v>
      </c>
      <c r="J610" s="4">
        <v>0</v>
      </c>
      <c r="K610" s="4">
        <v>0</v>
      </c>
      <c r="L610" s="4">
        <v>0</v>
      </c>
      <c r="M610" s="4">
        <v>0</v>
      </c>
      <c r="N610" s="4">
        <v>0</v>
      </c>
      <c r="O610" s="4">
        <v>0</v>
      </c>
      <c r="P610" s="4">
        <v>0</v>
      </c>
      <c r="Q610" s="4">
        <v>0</v>
      </c>
      <c r="R610" s="4">
        <v>0</v>
      </c>
      <c r="S610" s="4">
        <v>0</v>
      </c>
      <c r="T610" s="4">
        <v>0</v>
      </c>
      <c r="U610" s="4">
        <v>0</v>
      </c>
      <c r="V610" s="4">
        <v>0</v>
      </c>
      <c r="W610" s="4">
        <v>0</v>
      </c>
      <c r="X610" s="4">
        <v>0</v>
      </c>
      <c r="Y610" s="4">
        <v>0</v>
      </c>
      <c r="Z610" s="4">
        <v>0</v>
      </c>
      <c r="AA610" s="4">
        <v>0</v>
      </c>
      <c r="AB610" s="4">
        <v>0</v>
      </c>
      <c r="AC610" s="4">
        <v>0</v>
      </c>
      <c r="AD610" s="4">
        <v>0</v>
      </c>
      <c r="AE610" s="4">
        <v>0</v>
      </c>
      <c r="AF610" s="4">
        <v>0</v>
      </c>
      <c r="AG610" s="4">
        <v>0</v>
      </c>
      <c r="AH610" s="4">
        <v>0</v>
      </c>
      <c r="AI610" s="4">
        <v>0</v>
      </c>
      <c r="AJ610" s="4">
        <v>0</v>
      </c>
      <c r="AK610" s="4">
        <v>0</v>
      </c>
      <c r="AL610" s="4">
        <v>0</v>
      </c>
    </row>
    <row r="611" spans="5:38" x14ac:dyDescent="0.5">
      <c r="E611" s="100">
        <v>2</v>
      </c>
      <c r="F611" s="98" t="s">
        <v>18</v>
      </c>
      <c r="G611" s="4">
        <v>5</v>
      </c>
      <c r="H611" s="4">
        <v>3</v>
      </c>
      <c r="I611" s="4">
        <v>2</v>
      </c>
      <c r="J611" s="4">
        <v>4</v>
      </c>
      <c r="K611" s="4">
        <v>25</v>
      </c>
      <c r="L611" s="4">
        <v>7</v>
      </c>
      <c r="M611" s="4">
        <v>19</v>
      </c>
      <c r="N611" s="4">
        <v>27</v>
      </c>
      <c r="O611" s="4">
        <v>14</v>
      </c>
      <c r="P611" s="4">
        <v>11</v>
      </c>
      <c r="Q611" s="4">
        <v>10</v>
      </c>
      <c r="R611" s="4">
        <v>30</v>
      </c>
      <c r="S611" s="4">
        <v>15</v>
      </c>
      <c r="T611" s="4">
        <v>16</v>
      </c>
      <c r="U611" s="4">
        <v>29</v>
      </c>
      <c r="V611" s="4">
        <v>8</v>
      </c>
      <c r="W611" s="4">
        <v>24</v>
      </c>
      <c r="X611" s="4">
        <v>9</v>
      </c>
      <c r="Y611" s="4">
        <v>17</v>
      </c>
      <c r="Z611" s="4">
        <v>28</v>
      </c>
      <c r="AA611" s="4">
        <v>20</v>
      </c>
      <c r="AB611" s="4">
        <v>22</v>
      </c>
      <c r="AC611" s="4">
        <v>13</v>
      </c>
      <c r="AD611" s="4">
        <v>18</v>
      </c>
      <c r="AE611" s="4">
        <v>32</v>
      </c>
      <c r="AF611" s="4">
        <v>6</v>
      </c>
      <c r="AG611" s="4">
        <v>23</v>
      </c>
      <c r="AH611" s="4">
        <v>12</v>
      </c>
      <c r="AI611" s="4">
        <v>21</v>
      </c>
      <c r="AJ611" s="4">
        <v>31</v>
      </c>
      <c r="AK611" s="4">
        <v>26</v>
      </c>
      <c r="AL611" s="4">
        <v>0</v>
      </c>
    </row>
    <row r="612" spans="5:38" ht="16.149999999999999" thickBot="1" x14ac:dyDescent="0.55000000000000004">
      <c r="E612" s="101"/>
      <c r="F612" s="99"/>
      <c r="G612" s="4">
        <v>1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</v>
      </c>
      <c r="S612" s="4">
        <v>0</v>
      </c>
      <c r="T612" s="4">
        <v>0</v>
      </c>
      <c r="U612" s="4">
        <v>0</v>
      </c>
      <c r="V612" s="4">
        <v>0</v>
      </c>
      <c r="W612" s="4">
        <v>0</v>
      </c>
      <c r="X612" s="4">
        <v>0</v>
      </c>
      <c r="Y612" s="4">
        <v>0</v>
      </c>
      <c r="Z612" s="4">
        <v>0</v>
      </c>
      <c r="AA612" s="4">
        <v>0</v>
      </c>
      <c r="AB612" s="4">
        <v>0</v>
      </c>
      <c r="AC612" s="4">
        <v>0</v>
      </c>
      <c r="AD612" s="4">
        <v>0</v>
      </c>
      <c r="AE612" s="4">
        <v>0</v>
      </c>
      <c r="AF612" s="4">
        <v>0</v>
      </c>
      <c r="AG612" s="4">
        <v>0</v>
      </c>
      <c r="AH612" s="4">
        <v>0</v>
      </c>
      <c r="AI612" s="4">
        <v>0</v>
      </c>
      <c r="AJ612" s="4">
        <v>0</v>
      </c>
      <c r="AK612" s="4">
        <v>0</v>
      </c>
      <c r="AL612" s="4">
        <v>0</v>
      </c>
    </row>
    <row r="613" spans="5:38" x14ac:dyDescent="0.5">
      <c r="E613" s="100">
        <v>3</v>
      </c>
      <c r="F613" s="98" t="s">
        <v>13</v>
      </c>
      <c r="G613" s="4">
        <v>3</v>
      </c>
      <c r="H613" s="4">
        <v>2</v>
      </c>
      <c r="I613" s="4">
        <v>4</v>
      </c>
      <c r="J613" s="4">
        <v>25</v>
      </c>
      <c r="K613" s="4">
        <v>7</v>
      </c>
      <c r="L613" s="4">
        <v>19</v>
      </c>
      <c r="M613" s="4">
        <v>27</v>
      </c>
      <c r="N613" s="4">
        <v>14</v>
      </c>
      <c r="O613" s="4">
        <v>11</v>
      </c>
      <c r="P613" s="4">
        <v>10</v>
      </c>
      <c r="Q613" s="4">
        <v>30</v>
      </c>
      <c r="R613" s="4">
        <v>15</v>
      </c>
      <c r="S613" s="4">
        <v>16</v>
      </c>
      <c r="T613" s="4">
        <v>29</v>
      </c>
      <c r="U613" s="4">
        <v>8</v>
      </c>
      <c r="V613" s="4">
        <v>24</v>
      </c>
      <c r="W613" s="4">
        <v>9</v>
      </c>
      <c r="X613" s="4">
        <v>17</v>
      </c>
      <c r="Y613" s="4">
        <v>28</v>
      </c>
      <c r="Z613" s="4">
        <v>20</v>
      </c>
      <c r="AA613" s="4">
        <v>22</v>
      </c>
      <c r="AB613" s="4">
        <v>13</v>
      </c>
      <c r="AC613" s="4">
        <v>18</v>
      </c>
      <c r="AD613" s="4">
        <v>32</v>
      </c>
      <c r="AE613" s="4">
        <v>6</v>
      </c>
      <c r="AF613" s="4">
        <v>23</v>
      </c>
      <c r="AG613" s="4">
        <v>12</v>
      </c>
      <c r="AH613" s="4">
        <v>21</v>
      </c>
      <c r="AI613" s="4">
        <v>31</v>
      </c>
      <c r="AJ613" s="4">
        <v>26</v>
      </c>
      <c r="AK613" s="4">
        <v>0</v>
      </c>
      <c r="AL613" s="4">
        <v>0</v>
      </c>
    </row>
    <row r="614" spans="5:38" ht="16.149999999999999" thickBot="1" x14ac:dyDescent="0.55000000000000004">
      <c r="E614" s="101"/>
      <c r="F614" s="99"/>
      <c r="G614" s="4">
        <v>5</v>
      </c>
      <c r="H614" s="4">
        <v>1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4">
        <v>0</v>
      </c>
      <c r="T614" s="4">
        <v>0</v>
      </c>
      <c r="U614" s="4">
        <v>0</v>
      </c>
      <c r="V614" s="4">
        <v>0</v>
      </c>
      <c r="W614" s="4">
        <v>0</v>
      </c>
      <c r="X614" s="4">
        <v>0</v>
      </c>
      <c r="Y614" s="4">
        <v>0</v>
      </c>
      <c r="Z614" s="4">
        <v>0</v>
      </c>
      <c r="AA614" s="4">
        <v>0</v>
      </c>
      <c r="AB614" s="4">
        <v>0</v>
      </c>
      <c r="AC614" s="4">
        <v>0</v>
      </c>
      <c r="AD614" s="4">
        <v>0</v>
      </c>
      <c r="AE614" s="4">
        <v>0</v>
      </c>
      <c r="AF614" s="4">
        <v>0</v>
      </c>
      <c r="AG614" s="4">
        <v>0</v>
      </c>
      <c r="AH614" s="4">
        <v>0</v>
      </c>
      <c r="AI614" s="4">
        <v>0</v>
      </c>
      <c r="AJ614" s="4">
        <v>0</v>
      </c>
      <c r="AK614" s="4">
        <v>0</v>
      </c>
      <c r="AL614" s="4">
        <v>0</v>
      </c>
    </row>
    <row r="615" spans="5:38" x14ac:dyDescent="0.5">
      <c r="E615" s="100">
        <v>4</v>
      </c>
      <c r="F615" s="104" t="s">
        <v>80</v>
      </c>
      <c r="G615" s="4">
        <v>2</v>
      </c>
      <c r="H615" s="4">
        <v>3</v>
      </c>
      <c r="I615" s="4">
        <v>4</v>
      </c>
      <c r="J615" s="4">
        <v>25</v>
      </c>
      <c r="K615" s="4">
        <v>7</v>
      </c>
      <c r="L615" s="4">
        <v>19</v>
      </c>
      <c r="M615" s="4">
        <v>27</v>
      </c>
      <c r="N615" s="4">
        <v>14</v>
      </c>
      <c r="O615" s="4">
        <v>11</v>
      </c>
      <c r="P615" s="4">
        <v>10</v>
      </c>
      <c r="Q615" s="4">
        <v>30</v>
      </c>
      <c r="R615" s="4">
        <v>15</v>
      </c>
      <c r="S615" s="4">
        <v>16</v>
      </c>
      <c r="T615" s="4">
        <v>29</v>
      </c>
      <c r="U615" s="4">
        <v>8</v>
      </c>
      <c r="V615" s="4">
        <v>24</v>
      </c>
      <c r="W615" s="4">
        <v>9</v>
      </c>
      <c r="X615" s="4">
        <v>17</v>
      </c>
      <c r="Y615" s="4">
        <v>28</v>
      </c>
      <c r="Z615" s="4">
        <v>20</v>
      </c>
      <c r="AA615" s="4">
        <v>22</v>
      </c>
      <c r="AB615" s="4">
        <v>13</v>
      </c>
      <c r="AC615" s="4">
        <v>18</v>
      </c>
      <c r="AD615" s="4">
        <v>32</v>
      </c>
      <c r="AE615" s="4">
        <v>6</v>
      </c>
      <c r="AF615" s="4">
        <v>23</v>
      </c>
      <c r="AG615" s="4">
        <v>12</v>
      </c>
      <c r="AH615" s="4">
        <v>21</v>
      </c>
      <c r="AI615" s="4">
        <v>31</v>
      </c>
      <c r="AJ615" s="4">
        <v>26</v>
      </c>
      <c r="AK615" s="4">
        <v>0</v>
      </c>
      <c r="AL615" s="4">
        <v>0</v>
      </c>
    </row>
    <row r="616" spans="5:38" ht="16.149999999999999" thickBot="1" x14ac:dyDescent="0.55000000000000004">
      <c r="E616" s="101"/>
      <c r="F616" s="105"/>
      <c r="G616" s="4">
        <v>1</v>
      </c>
      <c r="H616" s="4">
        <v>5</v>
      </c>
      <c r="I616" s="4">
        <v>0</v>
      </c>
      <c r="J616" s="4">
        <v>0</v>
      </c>
      <c r="K616" s="4">
        <v>0</v>
      </c>
      <c r="L616" s="4">
        <v>0</v>
      </c>
      <c r="M616" s="4">
        <v>0</v>
      </c>
      <c r="N616" s="4">
        <v>0</v>
      </c>
      <c r="O616" s="4">
        <v>0</v>
      </c>
      <c r="P616" s="4">
        <v>0</v>
      </c>
      <c r="Q616" s="4">
        <v>0</v>
      </c>
      <c r="R616" s="4">
        <v>0</v>
      </c>
      <c r="S616" s="4">
        <v>0</v>
      </c>
      <c r="T616" s="4">
        <v>0</v>
      </c>
      <c r="U616" s="4">
        <v>0</v>
      </c>
      <c r="V616" s="4">
        <v>0</v>
      </c>
      <c r="W616" s="4">
        <v>0</v>
      </c>
      <c r="X616" s="4">
        <v>0</v>
      </c>
      <c r="Y616" s="4">
        <v>0</v>
      </c>
      <c r="Z616" s="4">
        <v>0</v>
      </c>
      <c r="AA616" s="4">
        <v>0</v>
      </c>
      <c r="AB616" s="4">
        <v>0</v>
      </c>
      <c r="AC616" s="4">
        <v>0</v>
      </c>
      <c r="AD616" s="4">
        <v>0</v>
      </c>
      <c r="AE616" s="4">
        <v>0</v>
      </c>
      <c r="AF616" s="4">
        <v>0</v>
      </c>
      <c r="AG616" s="4">
        <v>0</v>
      </c>
      <c r="AH616" s="4">
        <v>0</v>
      </c>
      <c r="AI616" s="4">
        <v>0</v>
      </c>
      <c r="AJ616" s="4">
        <v>0</v>
      </c>
      <c r="AK616" s="4">
        <v>0</v>
      </c>
      <c r="AL616" s="4">
        <v>0</v>
      </c>
    </row>
    <row r="617" spans="5:38" x14ac:dyDescent="0.5">
      <c r="E617" s="100">
        <v>5</v>
      </c>
      <c r="F617" s="98" t="s">
        <v>13</v>
      </c>
      <c r="G617" s="4">
        <v>3</v>
      </c>
      <c r="H617" s="4">
        <v>4</v>
      </c>
      <c r="I617" s="4">
        <v>25</v>
      </c>
      <c r="J617" s="4">
        <v>7</v>
      </c>
      <c r="K617" s="4">
        <v>19</v>
      </c>
      <c r="L617" s="4">
        <v>27</v>
      </c>
      <c r="M617" s="4">
        <v>14</v>
      </c>
      <c r="N617" s="4">
        <v>11</v>
      </c>
      <c r="O617" s="4">
        <v>10</v>
      </c>
      <c r="P617" s="4">
        <v>30</v>
      </c>
      <c r="Q617" s="4">
        <v>15</v>
      </c>
      <c r="R617" s="4">
        <v>16</v>
      </c>
      <c r="S617" s="4">
        <v>29</v>
      </c>
      <c r="T617" s="4">
        <v>8</v>
      </c>
      <c r="U617" s="4">
        <v>24</v>
      </c>
      <c r="V617" s="4">
        <v>9</v>
      </c>
      <c r="W617" s="4">
        <v>17</v>
      </c>
      <c r="X617" s="4">
        <v>28</v>
      </c>
      <c r="Y617" s="4">
        <v>20</v>
      </c>
      <c r="Z617" s="4">
        <v>22</v>
      </c>
      <c r="AA617" s="4">
        <v>13</v>
      </c>
      <c r="AB617" s="4">
        <v>18</v>
      </c>
      <c r="AC617" s="4">
        <v>32</v>
      </c>
      <c r="AD617" s="4">
        <v>6</v>
      </c>
      <c r="AE617" s="4">
        <v>23</v>
      </c>
      <c r="AF617" s="4">
        <v>12</v>
      </c>
      <c r="AG617" s="4">
        <v>21</v>
      </c>
      <c r="AH617" s="4">
        <v>31</v>
      </c>
      <c r="AI617" s="4">
        <v>26</v>
      </c>
      <c r="AJ617" s="4">
        <v>0</v>
      </c>
      <c r="AK617" s="4">
        <v>0</v>
      </c>
      <c r="AL617" s="4">
        <v>0</v>
      </c>
    </row>
    <row r="618" spans="5:38" ht="16.149999999999999" thickBot="1" x14ac:dyDescent="0.55000000000000004">
      <c r="E618" s="101"/>
      <c r="F618" s="99"/>
      <c r="G618" s="4">
        <v>2</v>
      </c>
      <c r="H618" s="4">
        <v>1</v>
      </c>
      <c r="I618" s="4">
        <v>5</v>
      </c>
      <c r="J618" s="4">
        <v>0</v>
      </c>
      <c r="K618" s="4">
        <v>0</v>
      </c>
      <c r="L618" s="4">
        <v>0</v>
      </c>
      <c r="M618" s="4">
        <v>0</v>
      </c>
      <c r="N618" s="4">
        <v>0</v>
      </c>
      <c r="O618" s="4">
        <v>0</v>
      </c>
      <c r="P618" s="4">
        <v>0</v>
      </c>
      <c r="Q618" s="4">
        <v>0</v>
      </c>
      <c r="R618" s="4">
        <v>0</v>
      </c>
      <c r="S618" s="4">
        <v>0</v>
      </c>
      <c r="T618" s="4">
        <v>0</v>
      </c>
      <c r="U618" s="4">
        <v>0</v>
      </c>
      <c r="V618" s="4">
        <v>0</v>
      </c>
      <c r="W618" s="4">
        <v>0</v>
      </c>
      <c r="X618" s="4">
        <v>0</v>
      </c>
      <c r="Y618" s="4">
        <v>0</v>
      </c>
      <c r="Z618" s="4">
        <v>0</v>
      </c>
      <c r="AA618" s="4">
        <v>0</v>
      </c>
      <c r="AB618" s="4">
        <v>0</v>
      </c>
      <c r="AC618" s="4">
        <v>0</v>
      </c>
      <c r="AD618" s="4">
        <v>0</v>
      </c>
      <c r="AE618" s="4">
        <v>0</v>
      </c>
      <c r="AF618" s="4">
        <v>0</v>
      </c>
      <c r="AG618" s="4">
        <v>0</v>
      </c>
      <c r="AH618" s="4">
        <v>0</v>
      </c>
      <c r="AI618" s="4">
        <v>0</v>
      </c>
      <c r="AJ618" s="4">
        <v>0</v>
      </c>
      <c r="AK618" s="4">
        <v>0</v>
      </c>
      <c r="AL618" s="4">
        <v>0</v>
      </c>
    </row>
    <row r="619" spans="5:38" x14ac:dyDescent="0.5">
      <c r="E619" s="100">
        <v>6</v>
      </c>
      <c r="F619" s="98" t="s">
        <v>13</v>
      </c>
      <c r="G619" s="4">
        <v>4</v>
      </c>
      <c r="H619" s="4">
        <v>25</v>
      </c>
      <c r="I619" s="4">
        <v>7</v>
      </c>
      <c r="J619" s="4">
        <v>19</v>
      </c>
      <c r="K619" s="4">
        <v>27</v>
      </c>
      <c r="L619" s="4">
        <v>14</v>
      </c>
      <c r="M619" s="4">
        <v>11</v>
      </c>
      <c r="N619" s="4">
        <v>10</v>
      </c>
      <c r="O619" s="4">
        <v>30</v>
      </c>
      <c r="P619" s="4">
        <v>15</v>
      </c>
      <c r="Q619" s="4">
        <v>16</v>
      </c>
      <c r="R619" s="4">
        <v>29</v>
      </c>
      <c r="S619" s="4">
        <v>8</v>
      </c>
      <c r="T619" s="4">
        <v>24</v>
      </c>
      <c r="U619" s="4">
        <v>9</v>
      </c>
      <c r="V619" s="4">
        <v>17</v>
      </c>
      <c r="W619" s="4">
        <v>28</v>
      </c>
      <c r="X619" s="4">
        <v>20</v>
      </c>
      <c r="Y619" s="4">
        <v>22</v>
      </c>
      <c r="Z619" s="4">
        <v>13</v>
      </c>
      <c r="AA619" s="4">
        <v>18</v>
      </c>
      <c r="AB619" s="4">
        <v>32</v>
      </c>
      <c r="AC619" s="4">
        <v>6</v>
      </c>
      <c r="AD619" s="4">
        <v>23</v>
      </c>
      <c r="AE619" s="4">
        <v>12</v>
      </c>
      <c r="AF619" s="4">
        <v>21</v>
      </c>
      <c r="AG619" s="4">
        <v>31</v>
      </c>
      <c r="AH619" s="4">
        <v>26</v>
      </c>
      <c r="AI619" s="4">
        <v>0</v>
      </c>
      <c r="AJ619" s="4">
        <v>0</v>
      </c>
      <c r="AK619" s="4">
        <v>0</v>
      </c>
      <c r="AL619" s="4">
        <v>0</v>
      </c>
    </row>
    <row r="620" spans="5:38" ht="16.149999999999999" thickBot="1" x14ac:dyDescent="0.55000000000000004">
      <c r="E620" s="101"/>
      <c r="F620" s="99"/>
      <c r="G620" s="4">
        <v>3</v>
      </c>
      <c r="H620" s="4">
        <v>2</v>
      </c>
      <c r="I620" s="4">
        <v>1</v>
      </c>
      <c r="J620" s="4">
        <v>5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0</v>
      </c>
      <c r="S620" s="4">
        <v>0</v>
      </c>
      <c r="T620" s="4">
        <v>0</v>
      </c>
      <c r="U620" s="4">
        <v>0</v>
      </c>
      <c r="V620" s="4">
        <v>0</v>
      </c>
      <c r="W620" s="4">
        <v>0</v>
      </c>
      <c r="X620" s="4">
        <v>0</v>
      </c>
      <c r="Y620" s="4">
        <v>0</v>
      </c>
      <c r="Z620" s="4">
        <v>0</v>
      </c>
      <c r="AA620" s="4">
        <v>0</v>
      </c>
      <c r="AB620" s="4">
        <v>0</v>
      </c>
      <c r="AC620" s="4">
        <v>0</v>
      </c>
      <c r="AD620" s="4">
        <v>0</v>
      </c>
      <c r="AE620" s="4">
        <v>0</v>
      </c>
      <c r="AF620" s="4">
        <v>0</v>
      </c>
      <c r="AG620" s="4">
        <v>0</v>
      </c>
      <c r="AH620" s="4">
        <v>0</v>
      </c>
      <c r="AI620" s="4">
        <v>0</v>
      </c>
      <c r="AJ620" s="4">
        <v>0</v>
      </c>
      <c r="AK620" s="4">
        <v>0</v>
      </c>
      <c r="AL620" s="4">
        <v>0</v>
      </c>
    </row>
    <row r="621" spans="5:38" x14ac:dyDescent="0.5">
      <c r="E621" s="100">
        <v>7</v>
      </c>
      <c r="F621" s="98" t="s">
        <v>13</v>
      </c>
      <c r="G621" s="4">
        <v>25</v>
      </c>
      <c r="H621" s="4">
        <v>7</v>
      </c>
      <c r="I621" s="4">
        <v>19</v>
      </c>
      <c r="J621" s="4">
        <v>27</v>
      </c>
      <c r="K621" s="4">
        <v>14</v>
      </c>
      <c r="L621" s="4">
        <v>11</v>
      </c>
      <c r="M621" s="4">
        <v>10</v>
      </c>
      <c r="N621" s="4">
        <v>30</v>
      </c>
      <c r="O621" s="4">
        <v>15</v>
      </c>
      <c r="P621" s="4">
        <v>16</v>
      </c>
      <c r="Q621" s="4">
        <v>29</v>
      </c>
      <c r="R621" s="4">
        <v>8</v>
      </c>
      <c r="S621" s="4">
        <v>24</v>
      </c>
      <c r="T621" s="4">
        <v>9</v>
      </c>
      <c r="U621" s="4">
        <v>17</v>
      </c>
      <c r="V621" s="4">
        <v>28</v>
      </c>
      <c r="W621" s="4">
        <v>20</v>
      </c>
      <c r="X621" s="4">
        <v>22</v>
      </c>
      <c r="Y621" s="4">
        <v>13</v>
      </c>
      <c r="Z621" s="4">
        <v>18</v>
      </c>
      <c r="AA621" s="4">
        <v>32</v>
      </c>
      <c r="AB621" s="4">
        <v>6</v>
      </c>
      <c r="AC621" s="4">
        <v>23</v>
      </c>
      <c r="AD621" s="4">
        <v>12</v>
      </c>
      <c r="AE621" s="4">
        <v>21</v>
      </c>
      <c r="AF621" s="4">
        <v>31</v>
      </c>
      <c r="AG621" s="4">
        <v>26</v>
      </c>
      <c r="AH621" s="4">
        <v>0</v>
      </c>
      <c r="AI621" s="4">
        <v>0</v>
      </c>
      <c r="AJ621" s="4">
        <v>0</v>
      </c>
      <c r="AK621" s="4">
        <v>0</v>
      </c>
      <c r="AL621" s="4">
        <v>0</v>
      </c>
    </row>
    <row r="622" spans="5:38" ht="16.149999999999999" thickBot="1" x14ac:dyDescent="0.55000000000000004">
      <c r="E622" s="101"/>
      <c r="F622" s="99"/>
      <c r="G622" s="4">
        <v>4</v>
      </c>
      <c r="H622" s="4">
        <v>3</v>
      </c>
      <c r="I622" s="4">
        <v>2</v>
      </c>
      <c r="J622" s="4">
        <v>1</v>
      </c>
      <c r="K622" s="4">
        <v>5</v>
      </c>
      <c r="L622" s="4">
        <v>0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4">
        <v>0</v>
      </c>
      <c r="T622" s="4">
        <v>0</v>
      </c>
      <c r="U622" s="4">
        <v>0</v>
      </c>
      <c r="V622" s="4">
        <v>0</v>
      </c>
      <c r="W622" s="4">
        <v>0</v>
      </c>
      <c r="X622" s="4">
        <v>0</v>
      </c>
      <c r="Y622" s="4">
        <v>0</v>
      </c>
      <c r="Z622" s="4">
        <v>0</v>
      </c>
      <c r="AA622" s="4">
        <v>0</v>
      </c>
      <c r="AB622" s="4">
        <v>0</v>
      </c>
      <c r="AC622" s="4">
        <v>0</v>
      </c>
      <c r="AD622" s="4">
        <v>0</v>
      </c>
      <c r="AE622" s="4">
        <v>0</v>
      </c>
      <c r="AF622" s="4">
        <v>0</v>
      </c>
      <c r="AG622" s="4">
        <v>0</v>
      </c>
      <c r="AH622" s="4">
        <v>0</v>
      </c>
      <c r="AI622" s="4">
        <v>0</v>
      </c>
      <c r="AJ622" s="4">
        <v>0</v>
      </c>
      <c r="AK622" s="4">
        <v>0</v>
      </c>
      <c r="AL622" s="4">
        <v>0</v>
      </c>
    </row>
    <row r="624" spans="5:38" ht="16.149999999999999" thickBot="1" x14ac:dyDescent="0.55000000000000004"/>
    <row r="625" spans="5:38" x14ac:dyDescent="0.5">
      <c r="E625" s="100">
        <v>0</v>
      </c>
      <c r="F625" s="102" t="s">
        <v>11</v>
      </c>
      <c r="G625" s="4">
        <v>1</v>
      </c>
      <c r="H625" s="4">
        <v>3</v>
      </c>
      <c r="I625" s="4">
        <v>4</v>
      </c>
      <c r="J625" s="4">
        <v>5</v>
      </c>
      <c r="K625" s="4">
        <v>2</v>
      </c>
      <c r="L625" s="4">
        <v>25</v>
      </c>
      <c r="M625" s="4">
        <v>7</v>
      </c>
      <c r="N625" s="4">
        <v>19</v>
      </c>
      <c r="O625" s="4">
        <v>27</v>
      </c>
      <c r="P625" s="4">
        <v>14</v>
      </c>
      <c r="Q625" s="4">
        <v>11</v>
      </c>
      <c r="R625" s="4">
        <v>10</v>
      </c>
      <c r="S625" s="4">
        <v>30</v>
      </c>
      <c r="T625" s="4">
        <v>15</v>
      </c>
      <c r="U625" s="4">
        <v>16</v>
      </c>
      <c r="V625" s="4">
        <v>29</v>
      </c>
      <c r="W625" s="4">
        <v>8</v>
      </c>
      <c r="X625" s="4">
        <v>24</v>
      </c>
      <c r="Y625" s="4">
        <v>9</v>
      </c>
      <c r="Z625" s="4">
        <v>17</v>
      </c>
      <c r="AA625" s="4">
        <v>28</v>
      </c>
      <c r="AB625" s="4">
        <v>20</v>
      </c>
      <c r="AC625" s="4">
        <v>22</v>
      </c>
      <c r="AD625" s="4">
        <v>13</v>
      </c>
      <c r="AE625" s="4">
        <v>18</v>
      </c>
      <c r="AF625" s="4">
        <v>32</v>
      </c>
      <c r="AG625" s="4">
        <v>6</v>
      </c>
      <c r="AH625" s="4">
        <v>23</v>
      </c>
      <c r="AI625" s="4">
        <v>12</v>
      </c>
      <c r="AJ625" s="4">
        <v>21</v>
      </c>
      <c r="AK625" s="4">
        <v>31</v>
      </c>
      <c r="AL625" s="4">
        <v>26</v>
      </c>
    </row>
    <row r="626" spans="5:38" ht="16.149999999999999" thickBot="1" x14ac:dyDescent="0.55000000000000004">
      <c r="E626" s="101"/>
      <c r="F626" s="103"/>
      <c r="G626" s="4"/>
      <c r="H626" s="4"/>
      <c r="I626" s="4"/>
      <c r="J626" s="4"/>
      <c r="K626" s="4">
        <v>0</v>
      </c>
      <c r="L626" s="4">
        <v>0</v>
      </c>
      <c r="M626" s="4">
        <v>0</v>
      </c>
      <c r="N626" s="4">
        <v>0</v>
      </c>
      <c r="O626" s="4">
        <v>0</v>
      </c>
      <c r="P626" s="4">
        <v>0</v>
      </c>
      <c r="Q626" s="4">
        <v>0</v>
      </c>
      <c r="R626" s="4">
        <v>0</v>
      </c>
      <c r="S626" s="4">
        <v>0</v>
      </c>
      <c r="T626" s="4">
        <v>0</v>
      </c>
      <c r="U626" s="4">
        <v>0</v>
      </c>
      <c r="V626" s="4">
        <v>0</v>
      </c>
      <c r="W626" s="4">
        <v>0</v>
      </c>
      <c r="X626" s="4">
        <v>0</v>
      </c>
      <c r="Y626" s="4">
        <v>0</v>
      </c>
      <c r="Z626" s="4">
        <v>0</v>
      </c>
      <c r="AA626" s="4">
        <v>0</v>
      </c>
      <c r="AB626" s="4">
        <v>0</v>
      </c>
      <c r="AC626" s="4">
        <v>0</v>
      </c>
      <c r="AD626" s="4">
        <v>0</v>
      </c>
      <c r="AE626" s="4">
        <v>0</v>
      </c>
      <c r="AF626" s="4">
        <v>0</v>
      </c>
      <c r="AG626" s="4">
        <v>0</v>
      </c>
      <c r="AH626" s="4">
        <v>0</v>
      </c>
      <c r="AI626" s="4">
        <v>0</v>
      </c>
      <c r="AJ626" s="4">
        <v>0</v>
      </c>
      <c r="AK626" s="4">
        <v>0</v>
      </c>
      <c r="AL626" s="4">
        <v>0</v>
      </c>
    </row>
    <row r="627" spans="5:38" x14ac:dyDescent="0.5">
      <c r="E627" s="100">
        <v>1</v>
      </c>
      <c r="F627" s="98" t="s">
        <v>13</v>
      </c>
      <c r="G627" s="4">
        <v>3</v>
      </c>
      <c r="H627" s="4">
        <v>4</v>
      </c>
      <c r="I627" s="4">
        <v>5</v>
      </c>
      <c r="J627" s="4">
        <v>2</v>
      </c>
      <c r="K627" s="4">
        <v>25</v>
      </c>
      <c r="L627" s="4">
        <v>7</v>
      </c>
      <c r="M627" s="4">
        <v>19</v>
      </c>
      <c r="N627" s="4">
        <v>27</v>
      </c>
      <c r="O627" s="4">
        <v>14</v>
      </c>
      <c r="P627" s="4">
        <v>11</v>
      </c>
      <c r="Q627" s="4">
        <v>10</v>
      </c>
      <c r="R627" s="4">
        <v>30</v>
      </c>
      <c r="S627" s="4">
        <v>15</v>
      </c>
      <c r="T627" s="4">
        <v>16</v>
      </c>
      <c r="U627" s="4">
        <v>29</v>
      </c>
      <c r="V627" s="4">
        <v>8</v>
      </c>
      <c r="W627" s="4">
        <v>24</v>
      </c>
      <c r="X627" s="4">
        <v>9</v>
      </c>
      <c r="Y627" s="4">
        <v>17</v>
      </c>
      <c r="Z627" s="4">
        <v>28</v>
      </c>
      <c r="AA627" s="4">
        <v>20</v>
      </c>
      <c r="AB627" s="4">
        <v>22</v>
      </c>
      <c r="AC627" s="4">
        <v>13</v>
      </c>
      <c r="AD627" s="4">
        <v>18</v>
      </c>
      <c r="AE627" s="4">
        <v>32</v>
      </c>
      <c r="AF627" s="4">
        <v>6</v>
      </c>
      <c r="AG627" s="4">
        <v>23</v>
      </c>
      <c r="AH627" s="4">
        <v>12</v>
      </c>
      <c r="AI627" s="4">
        <v>21</v>
      </c>
      <c r="AJ627" s="4">
        <v>31</v>
      </c>
      <c r="AK627" s="4">
        <v>26</v>
      </c>
      <c r="AL627" s="4">
        <v>0</v>
      </c>
    </row>
    <row r="628" spans="5:38" ht="16.149999999999999" thickBot="1" x14ac:dyDescent="0.55000000000000004">
      <c r="E628" s="101"/>
      <c r="F628" s="99"/>
      <c r="G628" s="4">
        <v>1</v>
      </c>
      <c r="H628" s="4">
        <v>0</v>
      </c>
      <c r="I628" s="4">
        <v>0</v>
      </c>
      <c r="J628" s="4">
        <v>0</v>
      </c>
      <c r="K628" s="4">
        <v>0</v>
      </c>
      <c r="L628" s="4">
        <v>0</v>
      </c>
      <c r="M628" s="4">
        <v>0</v>
      </c>
      <c r="N628" s="4">
        <v>0</v>
      </c>
      <c r="O628" s="4">
        <v>0</v>
      </c>
      <c r="P628" s="4">
        <v>0</v>
      </c>
      <c r="Q628" s="4">
        <v>0</v>
      </c>
      <c r="R628" s="4">
        <v>0</v>
      </c>
      <c r="S628" s="4">
        <v>0</v>
      </c>
      <c r="T628" s="4">
        <v>0</v>
      </c>
      <c r="U628" s="4">
        <v>0</v>
      </c>
      <c r="V628" s="4">
        <v>0</v>
      </c>
      <c r="W628" s="4">
        <v>0</v>
      </c>
      <c r="X628" s="4">
        <v>0</v>
      </c>
      <c r="Y628" s="4">
        <v>0</v>
      </c>
      <c r="Z628" s="4">
        <v>0</v>
      </c>
      <c r="AA628" s="4">
        <v>0</v>
      </c>
      <c r="AB628" s="4">
        <v>0</v>
      </c>
      <c r="AC628" s="4">
        <v>0</v>
      </c>
      <c r="AD628" s="4">
        <v>0</v>
      </c>
      <c r="AE628" s="4">
        <v>0</v>
      </c>
      <c r="AF628" s="4">
        <v>0</v>
      </c>
      <c r="AG628" s="4">
        <v>0</v>
      </c>
      <c r="AH628" s="4">
        <v>0</v>
      </c>
      <c r="AI628" s="4">
        <v>0</v>
      </c>
      <c r="AJ628" s="4">
        <v>0</v>
      </c>
      <c r="AK628" s="4">
        <v>0</v>
      </c>
      <c r="AL628" s="4">
        <v>0</v>
      </c>
    </row>
    <row r="629" spans="5:38" x14ac:dyDescent="0.5">
      <c r="E629" s="100">
        <v>2</v>
      </c>
      <c r="F629" s="98" t="s">
        <v>13</v>
      </c>
      <c r="G629" s="4">
        <v>4</v>
      </c>
      <c r="H629" s="4">
        <v>5</v>
      </c>
      <c r="I629" s="4">
        <v>2</v>
      </c>
      <c r="J629" s="4">
        <v>25</v>
      </c>
      <c r="K629" s="4">
        <v>7</v>
      </c>
      <c r="L629" s="4">
        <v>19</v>
      </c>
      <c r="M629" s="4">
        <v>27</v>
      </c>
      <c r="N629" s="4">
        <v>14</v>
      </c>
      <c r="O629" s="4">
        <v>11</v>
      </c>
      <c r="P629" s="4">
        <v>10</v>
      </c>
      <c r="Q629" s="4">
        <v>30</v>
      </c>
      <c r="R629" s="4">
        <v>15</v>
      </c>
      <c r="S629" s="4">
        <v>16</v>
      </c>
      <c r="T629" s="4">
        <v>29</v>
      </c>
      <c r="U629" s="4">
        <v>8</v>
      </c>
      <c r="V629" s="4">
        <v>24</v>
      </c>
      <c r="W629" s="4">
        <v>9</v>
      </c>
      <c r="X629" s="4">
        <v>17</v>
      </c>
      <c r="Y629" s="4">
        <v>28</v>
      </c>
      <c r="Z629" s="4">
        <v>20</v>
      </c>
      <c r="AA629" s="4">
        <v>22</v>
      </c>
      <c r="AB629" s="4">
        <v>13</v>
      </c>
      <c r="AC629" s="4">
        <v>18</v>
      </c>
      <c r="AD629" s="4">
        <v>32</v>
      </c>
      <c r="AE629" s="4">
        <v>6</v>
      </c>
      <c r="AF629" s="4">
        <v>23</v>
      </c>
      <c r="AG629" s="4">
        <v>12</v>
      </c>
      <c r="AH629" s="4">
        <v>21</v>
      </c>
      <c r="AI629" s="4">
        <v>31</v>
      </c>
      <c r="AJ629" s="4">
        <v>26</v>
      </c>
      <c r="AK629" s="4">
        <v>0</v>
      </c>
      <c r="AL629" s="4">
        <v>0</v>
      </c>
    </row>
    <row r="630" spans="5:38" ht="16.149999999999999" thickBot="1" x14ac:dyDescent="0.55000000000000004">
      <c r="E630" s="101"/>
      <c r="F630" s="99"/>
      <c r="G630" s="4">
        <v>3</v>
      </c>
      <c r="H630" s="4">
        <v>1</v>
      </c>
      <c r="I630" s="4">
        <v>0</v>
      </c>
      <c r="J630" s="4">
        <v>0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0</v>
      </c>
      <c r="Q630" s="4">
        <v>0</v>
      </c>
      <c r="R630" s="4">
        <v>0</v>
      </c>
      <c r="S630" s="4">
        <v>0</v>
      </c>
      <c r="T630" s="4">
        <v>0</v>
      </c>
      <c r="U630" s="4">
        <v>0</v>
      </c>
      <c r="V630" s="4">
        <v>0</v>
      </c>
      <c r="W630" s="4">
        <v>0</v>
      </c>
      <c r="X630" s="4">
        <v>0</v>
      </c>
      <c r="Y630" s="4">
        <v>0</v>
      </c>
      <c r="Z630" s="4">
        <v>0</v>
      </c>
      <c r="AA630" s="4">
        <v>0</v>
      </c>
      <c r="AB630" s="4">
        <v>0</v>
      </c>
      <c r="AC630" s="4">
        <v>0</v>
      </c>
      <c r="AD630" s="4">
        <v>0</v>
      </c>
      <c r="AE630" s="4">
        <v>0</v>
      </c>
      <c r="AF630" s="4">
        <v>0</v>
      </c>
      <c r="AG630" s="4">
        <v>0</v>
      </c>
      <c r="AH630" s="4">
        <v>0</v>
      </c>
      <c r="AI630" s="4">
        <v>0</v>
      </c>
      <c r="AJ630" s="4">
        <v>0</v>
      </c>
      <c r="AK630" s="4">
        <v>0</v>
      </c>
      <c r="AL630" s="4">
        <v>0</v>
      </c>
    </row>
    <row r="631" spans="5:38" x14ac:dyDescent="0.5">
      <c r="E631" s="100">
        <v>3</v>
      </c>
      <c r="F631" s="98" t="s">
        <v>13</v>
      </c>
      <c r="G631" s="4">
        <v>5</v>
      </c>
      <c r="H631" s="4">
        <v>2</v>
      </c>
      <c r="I631" s="4">
        <v>25</v>
      </c>
      <c r="J631" s="4">
        <v>7</v>
      </c>
      <c r="K631" s="4">
        <v>19</v>
      </c>
      <c r="L631" s="4">
        <v>27</v>
      </c>
      <c r="M631" s="4">
        <v>14</v>
      </c>
      <c r="N631" s="4">
        <v>11</v>
      </c>
      <c r="O631" s="4">
        <v>10</v>
      </c>
      <c r="P631" s="4">
        <v>30</v>
      </c>
      <c r="Q631" s="4">
        <v>15</v>
      </c>
      <c r="R631" s="4">
        <v>16</v>
      </c>
      <c r="S631" s="4">
        <v>29</v>
      </c>
      <c r="T631" s="4">
        <v>8</v>
      </c>
      <c r="U631" s="4">
        <v>24</v>
      </c>
      <c r="V631" s="4">
        <v>9</v>
      </c>
      <c r="W631" s="4">
        <v>17</v>
      </c>
      <c r="X631" s="4">
        <v>28</v>
      </c>
      <c r="Y631" s="4">
        <v>20</v>
      </c>
      <c r="Z631" s="4">
        <v>22</v>
      </c>
      <c r="AA631" s="4">
        <v>13</v>
      </c>
      <c r="AB631" s="4">
        <v>18</v>
      </c>
      <c r="AC631" s="4">
        <v>32</v>
      </c>
      <c r="AD631" s="4">
        <v>6</v>
      </c>
      <c r="AE631" s="4">
        <v>23</v>
      </c>
      <c r="AF631" s="4">
        <v>12</v>
      </c>
      <c r="AG631" s="4">
        <v>21</v>
      </c>
      <c r="AH631" s="4">
        <v>31</v>
      </c>
      <c r="AI631" s="4">
        <v>26</v>
      </c>
      <c r="AJ631" s="4">
        <v>0</v>
      </c>
      <c r="AK631" s="4">
        <v>0</v>
      </c>
      <c r="AL631" s="4">
        <v>0</v>
      </c>
    </row>
    <row r="632" spans="5:38" ht="16.149999999999999" thickBot="1" x14ac:dyDescent="0.55000000000000004">
      <c r="E632" s="101"/>
      <c r="F632" s="99"/>
      <c r="G632" s="4">
        <v>4</v>
      </c>
      <c r="H632" s="4">
        <v>3</v>
      </c>
      <c r="I632" s="4">
        <v>1</v>
      </c>
      <c r="J632" s="4">
        <v>0</v>
      </c>
      <c r="K632" s="4">
        <v>0</v>
      </c>
      <c r="L632" s="4">
        <v>0</v>
      </c>
      <c r="M632" s="4">
        <v>0</v>
      </c>
      <c r="N632" s="4">
        <v>0</v>
      </c>
      <c r="O632" s="4">
        <v>0</v>
      </c>
      <c r="P632" s="4">
        <v>0</v>
      </c>
      <c r="Q632" s="4">
        <v>0</v>
      </c>
      <c r="R632" s="4">
        <v>0</v>
      </c>
      <c r="S632" s="4">
        <v>0</v>
      </c>
      <c r="T632" s="4">
        <v>0</v>
      </c>
      <c r="U632" s="4">
        <v>0</v>
      </c>
      <c r="V632" s="4">
        <v>0</v>
      </c>
      <c r="W632" s="4">
        <v>0</v>
      </c>
      <c r="X632" s="4">
        <v>0</v>
      </c>
      <c r="Y632" s="4">
        <v>0</v>
      </c>
      <c r="Z632" s="4">
        <v>0</v>
      </c>
      <c r="AA632" s="4">
        <v>0</v>
      </c>
      <c r="AB632" s="4">
        <v>0</v>
      </c>
      <c r="AC632" s="4">
        <v>0</v>
      </c>
      <c r="AD632" s="4">
        <v>0</v>
      </c>
      <c r="AE632" s="4">
        <v>0</v>
      </c>
      <c r="AF632" s="4">
        <v>0</v>
      </c>
      <c r="AG632" s="4">
        <v>0</v>
      </c>
      <c r="AH632" s="4">
        <v>0</v>
      </c>
      <c r="AI632" s="4">
        <v>0</v>
      </c>
      <c r="AJ632" s="4">
        <v>0</v>
      </c>
      <c r="AK632" s="4">
        <v>0</v>
      </c>
      <c r="AL632" s="4">
        <v>0</v>
      </c>
    </row>
    <row r="633" spans="5:38" x14ac:dyDescent="0.5">
      <c r="E633" s="100">
        <v>4</v>
      </c>
      <c r="F633" s="98" t="s">
        <v>13</v>
      </c>
      <c r="G633" s="4">
        <v>2</v>
      </c>
      <c r="H633" s="4">
        <v>25</v>
      </c>
      <c r="I633" s="4">
        <v>7</v>
      </c>
      <c r="J633" s="4">
        <v>19</v>
      </c>
      <c r="K633" s="4">
        <v>27</v>
      </c>
      <c r="L633" s="4">
        <v>14</v>
      </c>
      <c r="M633" s="4">
        <v>11</v>
      </c>
      <c r="N633" s="4">
        <v>10</v>
      </c>
      <c r="O633" s="4">
        <v>30</v>
      </c>
      <c r="P633" s="4">
        <v>15</v>
      </c>
      <c r="Q633" s="4">
        <v>16</v>
      </c>
      <c r="R633" s="4">
        <v>29</v>
      </c>
      <c r="S633" s="4">
        <v>8</v>
      </c>
      <c r="T633" s="4">
        <v>24</v>
      </c>
      <c r="U633" s="4">
        <v>9</v>
      </c>
      <c r="V633" s="4">
        <v>17</v>
      </c>
      <c r="W633" s="4">
        <v>28</v>
      </c>
      <c r="X633" s="4">
        <v>20</v>
      </c>
      <c r="Y633" s="4">
        <v>22</v>
      </c>
      <c r="Z633" s="4">
        <v>13</v>
      </c>
      <c r="AA633" s="4">
        <v>18</v>
      </c>
      <c r="AB633" s="4">
        <v>32</v>
      </c>
      <c r="AC633" s="4">
        <v>6</v>
      </c>
      <c r="AD633" s="4">
        <v>23</v>
      </c>
      <c r="AE633" s="4">
        <v>12</v>
      </c>
      <c r="AF633" s="4">
        <v>21</v>
      </c>
      <c r="AG633" s="4">
        <v>31</v>
      </c>
      <c r="AH633" s="4">
        <v>26</v>
      </c>
      <c r="AI633" s="4">
        <v>0</v>
      </c>
      <c r="AJ633" s="4">
        <v>0</v>
      </c>
      <c r="AK633" s="4">
        <v>0</v>
      </c>
      <c r="AL633" s="4">
        <v>0</v>
      </c>
    </row>
    <row r="634" spans="5:38" ht="16.149999999999999" thickBot="1" x14ac:dyDescent="0.55000000000000004">
      <c r="E634" s="101"/>
      <c r="F634" s="99"/>
      <c r="G634" s="4">
        <v>5</v>
      </c>
      <c r="H634" s="4">
        <v>4</v>
      </c>
      <c r="I634" s="4">
        <v>3</v>
      </c>
      <c r="J634" s="4">
        <v>1</v>
      </c>
      <c r="K634" s="4">
        <v>0</v>
      </c>
      <c r="L634" s="4">
        <v>0</v>
      </c>
      <c r="M634" s="4">
        <v>0</v>
      </c>
      <c r="N634" s="4">
        <v>0</v>
      </c>
      <c r="O634" s="4">
        <v>0</v>
      </c>
      <c r="P634" s="4">
        <v>0</v>
      </c>
      <c r="Q634" s="4">
        <v>0</v>
      </c>
      <c r="R634" s="4">
        <v>0</v>
      </c>
      <c r="S634" s="4">
        <v>0</v>
      </c>
      <c r="T634" s="4">
        <v>0</v>
      </c>
      <c r="U634" s="4">
        <v>0</v>
      </c>
      <c r="V634" s="4">
        <v>0</v>
      </c>
      <c r="W634" s="4">
        <v>0</v>
      </c>
      <c r="X634" s="4">
        <v>0</v>
      </c>
      <c r="Y634" s="4">
        <v>0</v>
      </c>
      <c r="Z634" s="4">
        <v>0</v>
      </c>
      <c r="AA634" s="4">
        <v>0</v>
      </c>
      <c r="AB634" s="4">
        <v>0</v>
      </c>
      <c r="AC634" s="4">
        <v>0</v>
      </c>
      <c r="AD634" s="4">
        <v>0</v>
      </c>
      <c r="AE634" s="4">
        <v>0</v>
      </c>
      <c r="AF634" s="4">
        <v>0</v>
      </c>
      <c r="AG634" s="4">
        <v>0</v>
      </c>
      <c r="AH634" s="4">
        <v>0</v>
      </c>
      <c r="AI634" s="4">
        <v>0</v>
      </c>
      <c r="AJ634" s="4">
        <v>0</v>
      </c>
      <c r="AK634" s="4">
        <v>0</v>
      </c>
      <c r="AL634" s="4">
        <v>0</v>
      </c>
    </row>
    <row r="635" spans="5:38" x14ac:dyDescent="0.5">
      <c r="E635" s="100">
        <v>5</v>
      </c>
      <c r="F635" s="98" t="s">
        <v>16</v>
      </c>
      <c r="G635" s="4">
        <v>2</v>
      </c>
      <c r="H635" s="4">
        <v>25</v>
      </c>
      <c r="I635" s="4">
        <v>7</v>
      </c>
      <c r="J635" s="4">
        <v>19</v>
      </c>
      <c r="K635" s="4">
        <v>27</v>
      </c>
      <c r="L635" s="4">
        <v>14</v>
      </c>
      <c r="M635" s="4">
        <v>11</v>
      </c>
      <c r="N635" s="4">
        <v>10</v>
      </c>
      <c r="O635" s="4">
        <v>30</v>
      </c>
      <c r="P635" s="4">
        <v>15</v>
      </c>
      <c r="Q635" s="4">
        <v>16</v>
      </c>
      <c r="R635" s="4">
        <v>29</v>
      </c>
      <c r="S635" s="4">
        <v>8</v>
      </c>
      <c r="T635" s="4">
        <v>24</v>
      </c>
      <c r="U635" s="4">
        <v>9</v>
      </c>
      <c r="V635" s="4">
        <v>17</v>
      </c>
      <c r="W635" s="4">
        <v>28</v>
      </c>
      <c r="X635" s="4">
        <v>20</v>
      </c>
      <c r="Y635" s="4">
        <v>22</v>
      </c>
      <c r="Z635" s="4">
        <v>13</v>
      </c>
      <c r="AA635" s="4">
        <v>18</v>
      </c>
      <c r="AB635" s="4">
        <v>32</v>
      </c>
      <c r="AC635" s="4">
        <v>6</v>
      </c>
      <c r="AD635" s="4">
        <v>23</v>
      </c>
      <c r="AE635" s="4">
        <v>12</v>
      </c>
      <c r="AF635" s="4">
        <v>21</v>
      </c>
      <c r="AG635" s="4">
        <v>31</v>
      </c>
      <c r="AH635" s="4">
        <v>26</v>
      </c>
      <c r="AI635" s="4">
        <v>0</v>
      </c>
      <c r="AJ635" s="4">
        <v>0</v>
      </c>
      <c r="AK635" s="4">
        <v>0</v>
      </c>
      <c r="AL635" s="4">
        <v>0</v>
      </c>
    </row>
    <row r="636" spans="5:38" ht="16.149999999999999" thickBot="1" x14ac:dyDescent="0.55000000000000004">
      <c r="E636" s="101"/>
      <c r="F636" s="99"/>
      <c r="G636" s="4">
        <v>1</v>
      </c>
      <c r="H636" s="4">
        <v>5</v>
      </c>
      <c r="I636" s="4">
        <v>4</v>
      </c>
      <c r="J636" s="4">
        <v>3</v>
      </c>
      <c r="K636" s="4">
        <v>0</v>
      </c>
      <c r="L636" s="4">
        <v>0</v>
      </c>
      <c r="M636" s="4">
        <v>0</v>
      </c>
      <c r="N636" s="4">
        <v>0</v>
      </c>
      <c r="O636" s="4">
        <v>0</v>
      </c>
      <c r="P636" s="4">
        <v>0</v>
      </c>
      <c r="Q636" s="4">
        <v>0</v>
      </c>
      <c r="R636" s="4">
        <v>0</v>
      </c>
      <c r="S636" s="4">
        <v>0</v>
      </c>
      <c r="T636" s="4">
        <v>0</v>
      </c>
      <c r="U636" s="4">
        <v>0</v>
      </c>
      <c r="V636" s="4">
        <v>0</v>
      </c>
      <c r="W636" s="4">
        <v>0</v>
      </c>
      <c r="X636" s="4">
        <v>0</v>
      </c>
      <c r="Y636" s="4">
        <v>0</v>
      </c>
      <c r="Z636" s="4">
        <v>0</v>
      </c>
      <c r="AA636" s="4">
        <v>0</v>
      </c>
      <c r="AB636" s="4">
        <v>0</v>
      </c>
      <c r="AC636" s="4">
        <v>0</v>
      </c>
      <c r="AD636" s="4">
        <v>0</v>
      </c>
      <c r="AE636" s="4">
        <v>0</v>
      </c>
      <c r="AF636" s="4">
        <v>0</v>
      </c>
      <c r="AG636" s="4">
        <v>0</v>
      </c>
      <c r="AH636" s="4">
        <v>0</v>
      </c>
      <c r="AI636" s="4">
        <v>0</v>
      </c>
      <c r="AJ636" s="4">
        <v>0</v>
      </c>
      <c r="AK636" s="4">
        <v>0</v>
      </c>
      <c r="AL636" s="4">
        <v>0</v>
      </c>
    </row>
    <row r="637" spans="5:38" x14ac:dyDescent="0.5">
      <c r="E637" s="100">
        <v>6</v>
      </c>
      <c r="F637" s="98" t="s">
        <v>13</v>
      </c>
      <c r="G637" s="4">
        <v>25</v>
      </c>
      <c r="H637" s="4">
        <v>7</v>
      </c>
      <c r="I637" s="4">
        <v>19</v>
      </c>
      <c r="J637" s="4">
        <v>27</v>
      </c>
      <c r="K637" s="4">
        <v>14</v>
      </c>
      <c r="L637" s="4">
        <v>11</v>
      </c>
      <c r="M637" s="4">
        <v>10</v>
      </c>
      <c r="N637" s="4">
        <v>30</v>
      </c>
      <c r="O637" s="4">
        <v>15</v>
      </c>
      <c r="P637" s="4">
        <v>16</v>
      </c>
      <c r="Q637" s="4">
        <v>29</v>
      </c>
      <c r="R637" s="4">
        <v>8</v>
      </c>
      <c r="S637" s="4">
        <v>24</v>
      </c>
      <c r="T637" s="4">
        <v>9</v>
      </c>
      <c r="U637" s="4">
        <v>17</v>
      </c>
      <c r="V637" s="4">
        <v>28</v>
      </c>
      <c r="W637" s="4">
        <v>20</v>
      </c>
      <c r="X637" s="4">
        <v>22</v>
      </c>
      <c r="Y637" s="4">
        <v>13</v>
      </c>
      <c r="Z637" s="4">
        <v>18</v>
      </c>
      <c r="AA637" s="4">
        <v>32</v>
      </c>
      <c r="AB637" s="4">
        <v>6</v>
      </c>
      <c r="AC637" s="4">
        <v>23</v>
      </c>
      <c r="AD637" s="4">
        <v>12</v>
      </c>
      <c r="AE637" s="4">
        <v>21</v>
      </c>
      <c r="AF637" s="4">
        <v>31</v>
      </c>
      <c r="AG637" s="4">
        <v>26</v>
      </c>
      <c r="AH637" s="4">
        <v>0</v>
      </c>
      <c r="AI637" s="4">
        <v>0</v>
      </c>
      <c r="AJ637" s="4">
        <v>0</v>
      </c>
      <c r="AK637" s="4">
        <v>0</v>
      </c>
      <c r="AL637" s="4">
        <v>0</v>
      </c>
    </row>
    <row r="638" spans="5:38" ht="16.149999999999999" thickBot="1" x14ac:dyDescent="0.55000000000000004">
      <c r="E638" s="101"/>
      <c r="F638" s="99"/>
      <c r="G638" s="4">
        <v>2</v>
      </c>
      <c r="H638" s="4">
        <v>1</v>
      </c>
      <c r="I638" s="4">
        <v>5</v>
      </c>
      <c r="J638" s="4">
        <v>4</v>
      </c>
      <c r="K638" s="4">
        <v>3</v>
      </c>
      <c r="L638" s="4">
        <v>0</v>
      </c>
      <c r="M638" s="4">
        <v>0</v>
      </c>
      <c r="N638" s="4">
        <v>0</v>
      </c>
      <c r="O638" s="4">
        <v>0</v>
      </c>
      <c r="P638" s="4">
        <v>0</v>
      </c>
      <c r="Q638" s="4">
        <v>0</v>
      </c>
      <c r="R638" s="4">
        <v>0</v>
      </c>
      <c r="S638" s="4">
        <v>0</v>
      </c>
      <c r="T638" s="4">
        <v>0</v>
      </c>
      <c r="U638" s="4">
        <v>0</v>
      </c>
      <c r="V638" s="4">
        <v>0</v>
      </c>
      <c r="W638" s="4">
        <v>0</v>
      </c>
      <c r="X638" s="4">
        <v>0</v>
      </c>
      <c r="Y638" s="4">
        <v>0</v>
      </c>
      <c r="Z638" s="4">
        <v>0</v>
      </c>
      <c r="AA638" s="4">
        <v>0</v>
      </c>
      <c r="AB638" s="4">
        <v>0</v>
      </c>
      <c r="AC638" s="4">
        <v>0</v>
      </c>
      <c r="AD638" s="4">
        <v>0</v>
      </c>
      <c r="AE638" s="4">
        <v>0</v>
      </c>
      <c r="AF638" s="4">
        <v>0</v>
      </c>
      <c r="AG638" s="4">
        <v>0</v>
      </c>
      <c r="AH638" s="4">
        <v>0</v>
      </c>
      <c r="AI638" s="4">
        <v>0</v>
      </c>
      <c r="AJ638" s="4">
        <v>0</v>
      </c>
      <c r="AK638" s="4">
        <v>0</v>
      </c>
      <c r="AL638" s="4">
        <v>0</v>
      </c>
    </row>
    <row r="640" spans="5:38" ht="16.149999999999999" thickBot="1" x14ac:dyDescent="0.55000000000000004"/>
    <row r="641" spans="5:38" x14ac:dyDescent="0.5">
      <c r="E641" s="100">
        <v>0</v>
      </c>
      <c r="F641" s="102" t="s">
        <v>11</v>
      </c>
      <c r="G641" s="4">
        <v>1</v>
      </c>
      <c r="H641" s="4">
        <v>3</v>
      </c>
      <c r="I641" s="4">
        <v>5</v>
      </c>
      <c r="J641" s="4">
        <v>4</v>
      </c>
      <c r="K641" s="4">
        <v>2</v>
      </c>
      <c r="L641" s="4">
        <v>25</v>
      </c>
      <c r="M641" s="4">
        <v>7</v>
      </c>
      <c r="N641" s="4">
        <v>19</v>
      </c>
      <c r="O641" s="4">
        <v>27</v>
      </c>
      <c r="P641" s="4">
        <v>14</v>
      </c>
      <c r="Q641" s="4">
        <v>11</v>
      </c>
      <c r="R641" s="4">
        <v>10</v>
      </c>
      <c r="S641" s="4">
        <v>30</v>
      </c>
      <c r="T641" s="4">
        <v>15</v>
      </c>
      <c r="U641" s="4">
        <v>16</v>
      </c>
      <c r="V641" s="4">
        <v>29</v>
      </c>
      <c r="W641" s="4">
        <v>8</v>
      </c>
      <c r="X641" s="4">
        <v>24</v>
      </c>
      <c r="Y641" s="4">
        <v>9</v>
      </c>
      <c r="Z641" s="4">
        <v>17</v>
      </c>
      <c r="AA641" s="4">
        <v>28</v>
      </c>
      <c r="AB641" s="4">
        <v>20</v>
      </c>
      <c r="AC641" s="4">
        <v>22</v>
      </c>
      <c r="AD641" s="4">
        <v>13</v>
      </c>
      <c r="AE641" s="4">
        <v>18</v>
      </c>
      <c r="AF641" s="4">
        <v>32</v>
      </c>
      <c r="AG641" s="4">
        <v>6</v>
      </c>
      <c r="AH641" s="4">
        <v>23</v>
      </c>
      <c r="AI641" s="4">
        <v>12</v>
      </c>
      <c r="AJ641" s="4">
        <v>21</v>
      </c>
      <c r="AK641" s="4">
        <v>31</v>
      </c>
      <c r="AL641" s="4">
        <v>26</v>
      </c>
    </row>
    <row r="642" spans="5:38" ht="16.149999999999999" thickBot="1" x14ac:dyDescent="0.55000000000000004">
      <c r="E642" s="101"/>
      <c r="F642" s="103"/>
      <c r="G642" s="4"/>
      <c r="H642" s="4"/>
      <c r="I642" s="4"/>
      <c r="J642" s="4"/>
      <c r="K642" s="4">
        <v>0</v>
      </c>
      <c r="L642" s="4">
        <v>0</v>
      </c>
      <c r="M642" s="4">
        <v>0</v>
      </c>
      <c r="N642" s="4">
        <v>0</v>
      </c>
      <c r="O642" s="4">
        <v>0</v>
      </c>
      <c r="P642" s="4">
        <v>0</v>
      </c>
      <c r="Q642" s="4">
        <v>0</v>
      </c>
      <c r="R642" s="4">
        <v>0</v>
      </c>
      <c r="S642" s="4">
        <v>0</v>
      </c>
      <c r="T642" s="4">
        <v>0</v>
      </c>
      <c r="U642" s="4">
        <v>0</v>
      </c>
      <c r="V642" s="4">
        <v>0</v>
      </c>
      <c r="W642" s="4">
        <v>0</v>
      </c>
      <c r="X642" s="4">
        <v>0</v>
      </c>
      <c r="Y642" s="4">
        <v>0</v>
      </c>
      <c r="Z642" s="4">
        <v>0</v>
      </c>
      <c r="AA642" s="4">
        <v>0</v>
      </c>
      <c r="AB642" s="4">
        <v>0</v>
      </c>
      <c r="AC642" s="4">
        <v>0</v>
      </c>
      <c r="AD642" s="4">
        <v>0</v>
      </c>
      <c r="AE642" s="4">
        <v>0</v>
      </c>
      <c r="AF642" s="4">
        <v>0</v>
      </c>
      <c r="AG642" s="4">
        <v>0</v>
      </c>
      <c r="AH642" s="4">
        <v>0</v>
      </c>
      <c r="AI642" s="4">
        <v>0</v>
      </c>
      <c r="AJ642" s="4">
        <v>0</v>
      </c>
      <c r="AK642" s="4">
        <v>0</v>
      </c>
      <c r="AL642" s="4">
        <v>0</v>
      </c>
    </row>
    <row r="643" spans="5:38" x14ac:dyDescent="0.5">
      <c r="E643" s="100">
        <v>1</v>
      </c>
      <c r="F643" s="98" t="s">
        <v>13</v>
      </c>
      <c r="G643" s="4">
        <v>3</v>
      </c>
      <c r="H643" s="4">
        <v>5</v>
      </c>
      <c r="I643" s="4">
        <v>4</v>
      </c>
      <c r="J643" s="4">
        <v>2</v>
      </c>
      <c r="K643" s="4">
        <v>25</v>
      </c>
      <c r="L643" s="4">
        <v>7</v>
      </c>
      <c r="M643" s="4">
        <v>19</v>
      </c>
      <c r="N643" s="4">
        <v>27</v>
      </c>
      <c r="O643" s="4">
        <v>14</v>
      </c>
      <c r="P643" s="4">
        <v>11</v>
      </c>
      <c r="Q643" s="4">
        <v>10</v>
      </c>
      <c r="R643" s="4">
        <v>30</v>
      </c>
      <c r="S643" s="4">
        <v>15</v>
      </c>
      <c r="T643" s="4">
        <v>16</v>
      </c>
      <c r="U643" s="4">
        <v>29</v>
      </c>
      <c r="V643" s="4">
        <v>8</v>
      </c>
      <c r="W643" s="4">
        <v>24</v>
      </c>
      <c r="X643" s="4">
        <v>9</v>
      </c>
      <c r="Y643" s="4">
        <v>17</v>
      </c>
      <c r="Z643" s="4">
        <v>28</v>
      </c>
      <c r="AA643" s="4">
        <v>20</v>
      </c>
      <c r="AB643" s="4">
        <v>22</v>
      </c>
      <c r="AC643" s="4">
        <v>13</v>
      </c>
      <c r="AD643" s="4">
        <v>18</v>
      </c>
      <c r="AE643" s="4">
        <v>32</v>
      </c>
      <c r="AF643" s="4">
        <v>6</v>
      </c>
      <c r="AG643" s="4">
        <v>23</v>
      </c>
      <c r="AH643" s="4">
        <v>12</v>
      </c>
      <c r="AI643" s="4">
        <v>21</v>
      </c>
      <c r="AJ643" s="4">
        <v>31</v>
      </c>
      <c r="AK643" s="4">
        <v>26</v>
      </c>
      <c r="AL643" s="4">
        <v>0</v>
      </c>
    </row>
    <row r="644" spans="5:38" ht="16.149999999999999" thickBot="1" x14ac:dyDescent="0.55000000000000004">
      <c r="E644" s="101"/>
      <c r="F644" s="99"/>
      <c r="G644" s="4">
        <v>1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4">
        <v>0</v>
      </c>
      <c r="Q644" s="4">
        <v>0</v>
      </c>
      <c r="R644" s="4">
        <v>0</v>
      </c>
      <c r="S644" s="4">
        <v>0</v>
      </c>
      <c r="T644" s="4">
        <v>0</v>
      </c>
      <c r="U644" s="4">
        <v>0</v>
      </c>
      <c r="V644" s="4">
        <v>0</v>
      </c>
      <c r="W644" s="4">
        <v>0</v>
      </c>
      <c r="X644" s="4">
        <v>0</v>
      </c>
      <c r="Y644" s="4">
        <v>0</v>
      </c>
      <c r="Z644" s="4">
        <v>0</v>
      </c>
      <c r="AA644" s="4">
        <v>0</v>
      </c>
      <c r="AB644" s="4">
        <v>0</v>
      </c>
      <c r="AC644" s="4">
        <v>0</v>
      </c>
      <c r="AD644" s="4">
        <v>0</v>
      </c>
      <c r="AE644" s="4">
        <v>0</v>
      </c>
      <c r="AF644" s="4">
        <v>0</v>
      </c>
      <c r="AG644" s="4">
        <v>0</v>
      </c>
      <c r="AH644" s="4">
        <v>0</v>
      </c>
      <c r="AI644" s="4">
        <v>0</v>
      </c>
      <c r="AJ644" s="4">
        <v>0</v>
      </c>
      <c r="AK644" s="4">
        <v>0</v>
      </c>
      <c r="AL644" s="4">
        <v>0</v>
      </c>
    </row>
    <row r="645" spans="5:38" x14ac:dyDescent="0.5">
      <c r="E645" s="100">
        <v>2</v>
      </c>
      <c r="F645" s="98" t="s">
        <v>13</v>
      </c>
      <c r="G645" s="4">
        <v>5</v>
      </c>
      <c r="H645" s="4">
        <v>4</v>
      </c>
      <c r="I645" s="4">
        <v>2</v>
      </c>
      <c r="J645" s="4">
        <v>25</v>
      </c>
      <c r="K645" s="4">
        <v>7</v>
      </c>
      <c r="L645" s="4">
        <v>19</v>
      </c>
      <c r="M645" s="4">
        <v>27</v>
      </c>
      <c r="N645" s="4">
        <v>14</v>
      </c>
      <c r="O645" s="4">
        <v>11</v>
      </c>
      <c r="P645" s="4">
        <v>10</v>
      </c>
      <c r="Q645" s="4">
        <v>30</v>
      </c>
      <c r="R645" s="4">
        <v>15</v>
      </c>
      <c r="S645" s="4">
        <v>16</v>
      </c>
      <c r="T645" s="4">
        <v>29</v>
      </c>
      <c r="U645" s="4">
        <v>8</v>
      </c>
      <c r="V645" s="4">
        <v>24</v>
      </c>
      <c r="W645" s="4">
        <v>9</v>
      </c>
      <c r="X645" s="4">
        <v>17</v>
      </c>
      <c r="Y645" s="4">
        <v>28</v>
      </c>
      <c r="Z645" s="4">
        <v>20</v>
      </c>
      <c r="AA645" s="4">
        <v>22</v>
      </c>
      <c r="AB645" s="4">
        <v>13</v>
      </c>
      <c r="AC645" s="4">
        <v>18</v>
      </c>
      <c r="AD645" s="4">
        <v>32</v>
      </c>
      <c r="AE645" s="4">
        <v>6</v>
      </c>
      <c r="AF645" s="4">
        <v>23</v>
      </c>
      <c r="AG645" s="4">
        <v>12</v>
      </c>
      <c r="AH645" s="4">
        <v>21</v>
      </c>
      <c r="AI645" s="4">
        <v>31</v>
      </c>
      <c r="AJ645" s="4">
        <v>26</v>
      </c>
      <c r="AK645" s="4">
        <v>0</v>
      </c>
      <c r="AL645" s="4">
        <v>0</v>
      </c>
    </row>
    <row r="646" spans="5:38" ht="16.149999999999999" thickBot="1" x14ac:dyDescent="0.55000000000000004">
      <c r="E646" s="101"/>
      <c r="F646" s="99"/>
      <c r="G646" s="4">
        <v>3</v>
      </c>
      <c r="H646" s="4">
        <v>1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0</v>
      </c>
      <c r="O646" s="4">
        <v>0</v>
      </c>
      <c r="P646" s="4">
        <v>0</v>
      </c>
      <c r="Q646" s="4">
        <v>0</v>
      </c>
      <c r="R646" s="4">
        <v>0</v>
      </c>
      <c r="S646" s="4">
        <v>0</v>
      </c>
      <c r="T646" s="4">
        <v>0</v>
      </c>
      <c r="U646" s="4">
        <v>0</v>
      </c>
      <c r="V646" s="4">
        <v>0</v>
      </c>
      <c r="W646" s="4">
        <v>0</v>
      </c>
      <c r="X646" s="4">
        <v>0</v>
      </c>
      <c r="Y646" s="4">
        <v>0</v>
      </c>
      <c r="Z646" s="4">
        <v>0</v>
      </c>
      <c r="AA646" s="4">
        <v>0</v>
      </c>
      <c r="AB646" s="4">
        <v>0</v>
      </c>
      <c r="AC646" s="4">
        <v>0</v>
      </c>
      <c r="AD646" s="4">
        <v>0</v>
      </c>
      <c r="AE646" s="4">
        <v>0</v>
      </c>
      <c r="AF646" s="4">
        <v>0</v>
      </c>
      <c r="AG646" s="4">
        <v>0</v>
      </c>
      <c r="AH646" s="4">
        <v>0</v>
      </c>
      <c r="AI646" s="4">
        <v>0</v>
      </c>
      <c r="AJ646" s="4">
        <v>0</v>
      </c>
      <c r="AK646" s="4">
        <v>0</v>
      </c>
      <c r="AL646" s="4">
        <v>0</v>
      </c>
    </row>
    <row r="647" spans="5:38" x14ac:dyDescent="0.5">
      <c r="E647" s="100">
        <v>3</v>
      </c>
      <c r="F647" s="98" t="s">
        <v>18</v>
      </c>
      <c r="G647" s="4">
        <v>4</v>
      </c>
      <c r="H647" s="4">
        <v>5</v>
      </c>
      <c r="I647" s="4">
        <v>2</v>
      </c>
      <c r="J647" s="4">
        <v>25</v>
      </c>
      <c r="K647" s="4">
        <v>7</v>
      </c>
      <c r="L647" s="4">
        <v>19</v>
      </c>
      <c r="M647" s="4">
        <v>27</v>
      </c>
      <c r="N647" s="4">
        <v>14</v>
      </c>
      <c r="O647" s="4">
        <v>11</v>
      </c>
      <c r="P647" s="4">
        <v>10</v>
      </c>
      <c r="Q647" s="4">
        <v>30</v>
      </c>
      <c r="R647" s="4">
        <v>15</v>
      </c>
      <c r="S647" s="4">
        <v>16</v>
      </c>
      <c r="T647" s="4">
        <v>29</v>
      </c>
      <c r="U647" s="4">
        <v>8</v>
      </c>
      <c r="V647" s="4">
        <v>24</v>
      </c>
      <c r="W647" s="4">
        <v>9</v>
      </c>
      <c r="X647" s="4">
        <v>17</v>
      </c>
      <c r="Y647" s="4">
        <v>28</v>
      </c>
      <c r="Z647" s="4">
        <v>20</v>
      </c>
      <c r="AA647" s="4">
        <v>22</v>
      </c>
      <c r="AB647" s="4">
        <v>13</v>
      </c>
      <c r="AC647" s="4">
        <v>18</v>
      </c>
      <c r="AD647" s="4">
        <v>32</v>
      </c>
      <c r="AE647" s="4">
        <v>6</v>
      </c>
      <c r="AF647" s="4">
        <v>23</v>
      </c>
      <c r="AG647" s="4">
        <v>12</v>
      </c>
      <c r="AH647" s="4">
        <v>21</v>
      </c>
      <c r="AI647" s="4">
        <v>31</v>
      </c>
      <c r="AJ647" s="4">
        <v>26</v>
      </c>
      <c r="AK647" s="4">
        <v>0</v>
      </c>
      <c r="AL647" s="4">
        <v>0</v>
      </c>
    </row>
    <row r="648" spans="5:38" ht="16.149999999999999" thickBot="1" x14ac:dyDescent="0.55000000000000004">
      <c r="E648" s="101"/>
      <c r="F648" s="99"/>
      <c r="G648" s="4">
        <v>3</v>
      </c>
      <c r="H648" s="4">
        <v>1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0</v>
      </c>
      <c r="O648" s="4">
        <v>0</v>
      </c>
      <c r="P648" s="4">
        <v>0</v>
      </c>
      <c r="Q648" s="4">
        <v>0</v>
      </c>
      <c r="R648" s="4">
        <v>0</v>
      </c>
      <c r="S648" s="4">
        <v>0</v>
      </c>
      <c r="T648" s="4">
        <v>0</v>
      </c>
      <c r="U648" s="4">
        <v>0</v>
      </c>
      <c r="V648" s="4">
        <v>0</v>
      </c>
      <c r="W648" s="4">
        <v>0</v>
      </c>
      <c r="X648" s="4">
        <v>0</v>
      </c>
      <c r="Y648" s="4">
        <v>0</v>
      </c>
      <c r="Z648" s="4">
        <v>0</v>
      </c>
      <c r="AA648" s="4">
        <v>0</v>
      </c>
      <c r="AB648" s="4">
        <v>0</v>
      </c>
      <c r="AC648" s="4">
        <v>0</v>
      </c>
      <c r="AD648" s="4">
        <v>0</v>
      </c>
      <c r="AE648" s="4">
        <v>0</v>
      </c>
      <c r="AF648" s="4">
        <v>0</v>
      </c>
      <c r="AG648" s="4">
        <v>0</v>
      </c>
      <c r="AH648" s="4">
        <v>0</v>
      </c>
      <c r="AI648" s="4">
        <v>0</v>
      </c>
      <c r="AJ648" s="4">
        <v>0</v>
      </c>
      <c r="AK648" s="4">
        <v>0</v>
      </c>
      <c r="AL648" s="4">
        <v>0</v>
      </c>
    </row>
    <row r="649" spans="5:38" x14ac:dyDescent="0.5">
      <c r="E649" s="100">
        <v>4</v>
      </c>
      <c r="F649" s="98" t="s">
        <v>13</v>
      </c>
      <c r="G649" s="4">
        <v>5</v>
      </c>
      <c r="H649" s="4">
        <v>2</v>
      </c>
      <c r="I649" s="4">
        <v>25</v>
      </c>
      <c r="J649" s="4">
        <v>7</v>
      </c>
      <c r="K649" s="4">
        <v>19</v>
      </c>
      <c r="L649" s="4">
        <v>27</v>
      </c>
      <c r="M649" s="4">
        <v>14</v>
      </c>
      <c r="N649" s="4">
        <v>11</v>
      </c>
      <c r="O649" s="4">
        <v>10</v>
      </c>
      <c r="P649" s="4">
        <v>30</v>
      </c>
      <c r="Q649" s="4">
        <v>15</v>
      </c>
      <c r="R649" s="4">
        <v>16</v>
      </c>
      <c r="S649" s="4">
        <v>29</v>
      </c>
      <c r="T649" s="4">
        <v>8</v>
      </c>
      <c r="U649" s="4">
        <v>24</v>
      </c>
      <c r="V649" s="4">
        <v>9</v>
      </c>
      <c r="W649" s="4">
        <v>17</v>
      </c>
      <c r="X649" s="4">
        <v>28</v>
      </c>
      <c r="Y649" s="4">
        <v>20</v>
      </c>
      <c r="Z649" s="4">
        <v>22</v>
      </c>
      <c r="AA649" s="4">
        <v>13</v>
      </c>
      <c r="AB649" s="4">
        <v>18</v>
      </c>
      <c r="AC649" s="4">
        <v>32</v>
      </c>
      <c r="AD649" s="4">
        <v>6</v>
      </c>
      <c r="AE649" s="4">
        <v>23</v>
      </c>
      <c r="AF649" s="4">
        <v>12</v>
      </c>
      <c r="AG649" s="4">
        <v>21</v>
      </c>
      <c r="AH649" s="4">
        <v>31</v>
      </c>
      <c r="AI649" s="4">
        <v>26</v>
      </c>
      <c r="AJ649" s="4">
        <v>0</v>
      </c>
      <c r="AK649" s="4">
        <v>0</v>
      </c>
      <c r="AL649" s="4">
        <v>0</v>
      </c>
    </row>
    <row r="650" spans="5:38" ht="16.149999999999999" thickBot="1" x14ac:dyDescent="0.55000000000000004">
      <c r="E650" s="101"/>
      <c r="F650" s="99"/>
      <c r="G650" s="4">
        <v>4</v>
      </c>
      <c r="H650" s="4">
        <v>3</v>
      </c>
      <c r="I650" s="4">
        <v>1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0</v>
      </c>
      <c r="P650" s="4">
        <v>0</v>
      </c>
      <c r="Q650" s="4">
        <v>0</v>
      </c>
      <c r="R650" s="4">
        <v>0</v>
      </c>
      <c r="S650" s="4">
        <v>0</v>
      </c>
      <c r="T650" s="4">
        <v>0</v>
      </c>
      <c r="U650" s="4">
        <v>0</v>
      </c>
      <c r="V650" s="4">
        <v>0</v>
      </c>
      <c r="W650" s="4">
        <v>0</v>
      </c>
      <c r="X650" s="4">
        <v>0</v>
      </c>
      <c r="Y650" s="4">
        <v>0</v>
      </c>
      <c r="Z650" s="4">
        <v>0</v>
      </c>
      <c r="AA650" s="4">
        <v>0</v>
      </c>
      <c r="AB650" s="4">
        <v>0</v>
      </c>
      <c r="AC650" s="4">
        <v>0</v>
      </c>
      <c r="AD650" s="4">
        <v>0</v>
      </c>
      <c r="AE650" s="4">
        <v>0</v>
      </c>
      <c r="AF650" s="4">
        <v>0</v>
      </c>
      <c r="AG650" s="4">
        <v>0</v>
      </c>
      <c r="AH650" s="4">
        <v>0</v>
      </c>
      <c r="AI650" s="4">
        <v>0</v>
      </c>
      <c r="AJ650" s="4">
        <v>0</v>
      </c>
      <c r="AK650" s="4">
        <v>0</v>
      </c>
      <c r="AL650" s="4">
        <v>0</v>
      </c>
    </row>
    <row r="651" spans="5:38" x14ac:dyDescent="0.5">
      <c r="E651" s="100">
        <v>5</v>
      </c>
      <c r="F651" s="98" t="s">
        <v>13</v>
      </c>
      <c r="G651" s="4">
        <v>2</v>
      </c>
      <c r="H651" s="4">
        <v>25</v>
      </c>
      <c r="I651" s="4">
        <v>7</v>
      </c>
      <c r="J651" s="4">
        <v>19</v>
      </c>
      <c r="K651" s="4">
        <v>27</v>
      </c>
      <c r="L651" s="4">
        <v>14</v>
      </c>
      <c r="M651" s="4">
        <v>11</v>
      </c>
      <c r="N651" s="4">
        <v>10</v>
      </c>
      <c r="O651" s="4">
        <v>30</v>
      </c>
      <c r="P651" s="4">
        <v>15</v>
      </c>
      <c r="Q651" s="4">
        <v>16</v>
      </c>
      <c r="R651" s="4">
        <v>29</v>
      </c>
      <c r="S651" s="4">
        <v>8</v>
      </c>
      <c r="T651" s="4">
        <v>24</v>
      </c>
      <c r="U651" s="4">
        <v>9</v>
      </c>
      <c r="V651" s="4">
        <v>17</v>
      </c>
      <c r="W651" s="4">
        <v>28</v>
      </c>
      <c r="X651" s="4">
        <v>20</v>
      </c>
      <c r="Y651" s="4">
        <v>22</v>
      </c>
      <c r="Z651" s="4">
        <v>13</v>
      </c>
      <c r="AA651" s="4">
        <v>18</v>
      </c>
      <c r="AB651" s="4">
        <v>32</v>
      </c>
      <c r="AC651" s="4">
        <v>6</v>
      </c>
      <c r="AD651" s="4">
        <v>23</v>
      </c>
      <c r="AE651" s="4">
        <v>12</v>
      </c>
      <c r="AF651" s="4">
        <v>21</v>
      </c>
      <c r="AG651" s="4">
        <v>31</v>
      </c>
      <c r="AH651" s="4">
        <v>26</v>
      </c>
      <c r="AI651" s="4">
        <v>0</v>
      </c>
      <c r="AJ651" s="4">
        <v>0</v>
      </c>
      <c r="AK651" s="4">
        <v>0</v>
      </c>
      <c r="AL651" s="4">
        <v>0</v>
      </c>
    </row>
    <row r="652" spans="5:38" ht="16.149999999999999" thickBot="1" x14ac:dyDescent="0.55000000000000004">
      <c r="E652" s="101"/>
      <c r="F652" s="99"/>
      <c r="G652" s="4">
        <v>5</v>
      </c>
      <c r="H652" s="4">
        <v>4</v>
      </c>
      <c r="I652" s="4">
        <v>3</v>
      </c>
      <c r="J652" s="4">
        <v>1</v>
      </c>
      <c r="K652" s="4">
        <v>0</v>
      </c>
      <c r="L652" s="4">
        <v>0</v>
      </c>
      <c r="M652" s="4">
        <v>0</v>
      </c>
      <c r="N652" s="4">
        <v>0</v>
      </c>
      <c r="O652" s="4">
        <v>0</v>
      </c>
      <c r="P652" s="4">
        <v>0</v>
      </c>
      <c r="Q652" s="4">
        <v>0</v>
      </c>
      <c r="R652" s="4">
        <v>0</v>
      </c>
      <c r="S652" s="4">
        <v>0</v>
      </c>
      <c r="T652" s="4">
        <v>0</v>
      </c>
      <c r="U652" s="4">
        <v>0</v>
      </c>
      <c r="V652" s="4">
        <v>0</v>
      </c>
      <c r="W652" s="4">
        <v>0</v>
      </c>
      <c r="X652" s="4">
        <v>0</v>
      </c>
      <c r="Y652" s="4">
        <v>0</v>
      </c>
      <c r="Z652" s="4">
        <v>0</v>
      </c>
      <c r="AA652" s="4">
        <v>0</v>
      </c>
      <c r="AB652" s="4">
        <v>0</v>
      </c>
      <c r="AC652" s="4">
        <v>0</v>
      </c>
      <c r="AD652" s="4">
        <v>0</v>
      </c>
      <c r="AE652" s="4">
        <v>0</v>
      </c>
      <c r="AF652" s="4">
        <v>0</v>
      </c>
      <c r="AG652" s="4">
        <v>0</v>
      </c>
      <c r="AH652" s="4">
        <v>0</v>
      </c>
      <c r="AI652" s="4">
        <v>0</v>
      </c>
      <c r="AJ652" s="4">
        <v>0</v>
      </c>
      <c r="AK652" s="4">
        <v>0</v>
      </c>
      <c r="AL652" s="4">
        <v>0</v>
      </c>
    </row>
    <row r="653" spans="5:38" x14ac:dyDescent="0.5">
      <c r="E653" s="100">
        <v>6</v>
      </c>
      <c r="F653" s="98" t="s">
        <v>16</v>
      </c>
      <c r="G653" s="4">
        <v>2</v>
      </c>
      <c r="H653" s="4">
        <v>25</v>
      </c>
      <c r="I653" s="4">
        <v>7</v>
      </c>
      <c r="J653" s="4">
        <v>19</v>
      </c>
      <c r="K653" s="4">
        <v>27</v>
      </c>
      <c r="L653" s="4">
        <v>14</v>
      </c>
      <c r="M653" s="4">
        <v>11</v>
      </c>
      <c r="N653" s="4">
        <v>10</v>
      </c>
      <c r="O653" s="4">
        <v>30</v>
      </c>
      <c r="P653" s="4">
        <v>15</v>
      </c>
      <c r="Q653" s="4">
        <v>16</v>
      </c>
      <c r="R653" s="4">
        <v>29</v>
      </c>
      <c r="S653" s="4">
        <v>8</v>
      </c>
      <c r="T653" s="4">
        <v>24</v>
      </c>
      <c r="U653" s="4">
        <v>9</v>
      </c>
      <c r="V653" s="4">
        <v>17</v>
      </c>
      <c r="W653" s="4">
        <v>28</v>
      </c>
      <c r="X653" s="4">
        <v>20</v>
      </c>
      <c r="Y653" s="4">
        <v>22</v>
      </c>
      <c r="Z653" s="4">
        <v>13</v>
      </c>
      <c r="AA653" s="4">
        <v>18</v>
      </c>
      <c r="AB653" s="4">
        <v>32</v>
      </c>
      <c r="AC653" s="4">
        <v>6</v>
      </c>
      <c r="AD653" s="4">
        <v>23</v>
      </c>
      <c r="AE653" s="4">
        <v>12</v>
      </c>
      <c r="AF653" s="4">
        <v>21</v>
      </c>
      <c r="AG653" s="4">
        <v>31</v>
      </c>
      <c r="AH653" s="4">
        <v>26</v>
      </c>
      <c r="AI653" s="4">
        <v>0</v>
      </c>
      <c r="AJ653" s="4">
        <v>0</v>
      </c>
      <c r="AK653" s="4">
        <v>0</v>
      </c>
      <c r="AL653" s="4">
        <v>0</v>
      </c>
    </row>
    <row r="654" spans="5:38" ht="16.149999999999999" thickBot="1" x14ac:dyDescent="0.55000000000000004">
      <c r="E654" s="101"/>
      <c r="F654" s="99"/>
      <c r="G654" s="4">
        <v>1</v>
      </c>
      <c r="H654" s="4">
        <v>5</v>
      </c>
      <c r="I654" s="4">
        <v>4</v>
      </c>
      <c r="J654" s="4">
        <v>3</v>
      </c>
      <c r="K654" s="4">
        <v>0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0</v>
      </c>
      <c r="S654" s="4">
        <v>0</v>
      </c>
      <c r="T654" s="4">
        <v>0</v>
      </c>
      <c r="U654" s="4">
        <v>0</v>
      </c>
      <c r="V654" s="4">
        <v>0</v>
      </c>
      <c r="W654" s="4">
        <v>0</v>
      </c>
      <c r="X654" s="4">
        <v>0</v>
      </c>
      <c r="Y654" s="4">
        <v>0</v>
      </c>
      <c r="Z654" s="4">
        <v>0</v>
      </c>
      <c r="AA654" s="4">
        <v>0</v>
      </c>
      <c r="AB654" s="4">
        <v>0</v>
      </c>
      <c r="AC654" s="4">
        <v>0</v>
      </c>
      <c r="AD654" s="4">
        <v>0</v>
      </c>
      <c r="AE654" s="4">
        <v>0</v>
      </c>
      <c r="AF654" s="4">
        <v>0</v>
      </c>
      <c r="AG654" s="4">
        <v>0</v>
      </c>
      <c r="AH654" s="4">
        <v>0</v>
      </c>
      <c r="AI654" s="4">
        <v>0</v>
      </c>
      <c r="AJ654" s="4">
        <v>0</v>
      </c>
      <c r="AK654" s="4">
        <v>0</v>
      </c>
      <c r="AL654" s="4">
        <v>0</v>
      </c>
    </row>
    <row r="655" spans="5:38" x14ac:dyDescent="0.5">
      <c r="E655" s="100">
        <v>7</v>
      </c>
      <c r="F655" s="98" t="s">
        <v>13</v>
      </c>
      <c r="G655" s="4">
        <v>25</v>
      </c>
      <c r="H655" s="4">
        <v>7</v>
      </c>
      <c r="I655" s="4">
        <v>19</v>
      </c>
      <c r="J655" s="4">
        <v>27</v>
      </c>
      <c r="K655" s="4">
        <v>14</v>
      </c>
      <c r="L655" s="4">
        <v>11</v>
      </c>
      <c r="M655" s="4">
        <v>10</v>
      </c>
      <c r="N655" s="4">
        <v>30</v>
      </c>
      <c r="O655" s="4">
        <v>15</v>
      </c>
      <c r="P655" s="4">
        <v>16</v>
      </c>
      <c r="Q655" s="4">
        <v>29</v>
      </c>
      <c r="R655" s="4">
        <v>8</v>
      </c>
      <c r="S655" s="4">
        <v>24</v>
      </c>
      <c r="T655" s="4">
        <v>9</v>
      </c>
      <c r="U655" s="4">
        <v>17</v>
      </c>
      <c r="V655" s="4">
        <v>28</v>
      </c>
      <c r="W655" s="4">
        <v>20</v>
      </c>
      <c r="X655" s="4">
        <v>22</v>
      </c>
      <c r="Y655" s="4">
        <v>13</v>
      </c>
      <c r="Z655" s="4">
        <v>18</v>
      </c>
      <c r="AA655" s="4">
        <v>32</v>
      </c>
      <c r="AB655" s="4">
        <v>6</v>
      </c>
      <c r="AC655" s="4">
        <v>23</v>
      </c>
      <c r="AD655" s="4">
        <v>12</v>
      </c>
      <c r="AE655" s="4">
        <v>21</v>
      </c>
      <c r="AF655" s="4">
        <v>31</v>
      </c>
      <c r="AG655" s="4">
        <v>26</v>
      </c>
      <c r="AH655" s="4">
        <v>0</v>
      </c>
      <c r="AI655" s="4">
        <v>0</v>
      </c>
      <c r="AJ655" s="4">
        <v>0</v>
      </c>
      <c r="AK655" s="4">
        <v>0</v>
      </c>
      <c r="AL655" s="4">
        <v>0</v>
      </c>
    </row>
    <row r="656" spans="5:38" ht="16.149999999999999" thickBot="1" x14ac:dyDescent="0.55000000000000004">
      <c r="E656" s="101"/>
      <c r="F656" s="99"/>
      <c r="G656" s="4">
        <v>2</v>
      </c>
      <c r="H656" s="4">
        <v>1</v>
      </c>
      <c r="I656" s="4">
        <v>5</v>
      </c>
      <c r="J656" s="4">
        <v>4</v>
      </c>
      <c r="K656" s="4">
        <v>3</v>
      </c>
      <c r="L656" s="4">
        <v>0</v>
      </c>
      <c r="M656" s="4">
        <v>0</v>
      </c>
      <c r="N656" s="4">
        <v>0</v>
      </c>
      <c r="O656" s="4">
        <v>0</v>
      </c>
      <c r="P656" s="4">
        <v>0</v>
      </c>
      <c r="Q656" s="4">
        <v>0</v>
      </c>
      <c r="R656" s="4">
        <v>0</v>
      </c>
      <c r="S656" s="4">
        <v>0</v>
      </c>
      <c r="T656" s="4">
        <v>0</v>
      </c>
      <c r="U656" s="4">
        <v>0</v>
      </c>
      <c r="V656" s="4">
        <v>0</v>
      </c>
      <c r="W656" s="4">
        <v>0</v>
      </c>
      <c r="X656" s="4">
        <v>0</v>
      </c>
      <c r="Y656" s="4">
        <v>0</v>
      </c>
      <c r="Z656" s="4">
        <v>0</v>
      </c>
      <c r="AA656" s="4">
        <v>0</v>
      </c>
      <c r="AB656" s="4">
        <v>0</v>
      </c>
      <c r="AC656" s="4">
        <v>0</v>
      </c>
      <c r="AD656" s="4">
        <v>0</v>
      </c>
      <c r="AE656" s="4">
        <v>0</v>
      </c>
      <c r="AF656" s="4">
        <v>0</v>
      </c>
      <c r="AG656" s="4">
        <v>0</v>
      </c>
      <c r="AH656" s="4">
        <v>0</v>
      </c>
      <c r="AI656" s="4">
        <v>0</v>
      </c>
      <c r="AJ656" s="4">
        <v>0</v>
      </c>
      <c r="AK656" s="4">
        <v>0</v>
      </c>
      <c r="AL656" s="4">
        <v>0</v>
      </c>
    </row>
    <row r="658" spans="5:38" ht="16.149999999999999" thickBot="1" x14ac:dyDescent="0.55000000000000004"/>
    <row r="659" spans="5:38" x14ac:dyDescent="0.5">
      <c r="E659" s="100">
        <v>0</v>
      </c>
      <c r="F659" s="102" t="s">
        <v>11</v>
      </c>
      <c r="G659" s="4">
        <v>2</v>
      </c>
      <c r="H659" s="4">
        <v>1</v>
      </c>
      <c r="I659" s="4">
        <v>3</v>
      </c>
      <c r="J659" s="4">
        <v>4</v>
      </c>
      <c r="K659" s="4">
        <v>5</v>
      </c>
      <c r="L659" s="4">
        <v>25</v>
      </c>
      <c r="M659" s="4">
        <v>7</v>
      </c>
      <c r="N659" s="4">
        <v>19</v>
      </c>
      <c r="O659" s="4">
        <v>27</v>
      </c>
      <c r="P659" s="4">
        <v>14</v>
      </c>
      <c r="Q659" s="4">
        <v>11</v>
      </c>
      <c r="R659" s="4">
        <v>10</v>
      </c>
      <c r="S659" s="4">
        <v>30</v>
      </c>
      <c r="T659" s="4">
        <v>15</v>
      </c>
      <c r="U659" s="4">
        <v>16</v>
      </c>
      <c r="V659" s="4">
        <v>29</v>
      </c>
      <c r="W659" s="4">
        <v>8</v>
      </c>
      <c r="X659" s="4">
        <v>24</v>
      </c>
      <c r="Y659" s="4">
        <v>9</v>
      </c>
      <c r="Z659" s="4">
        <v>17</v>
      </c>
      <c r="AA659" s="4">
        <v>28</v>
      </c>
      <c r="AB659" s="4">
        <v>20</v>
      </c>
      <c r="AC659" s="4">
        <v>22</v>
      </c>
      <c r="AD659" s="4">
        <v>13</v>
      </c>
      <c r="AE659" s="4">
        <v>18</v>
      </c>
      <c r="AF659" s="4">
        <v>32</v>
      </c>
      <c r="AG659" s="4">
        <v>6</v>
      </c>
      <c r="AH659" s="4">
        <v>23</v>
      </c>
      <c r="AI659" s="4">
        <v>12</v>
      </c>
      <c r="AJ659" s="4">
        <v>21</v>
      </c>
      <c r="AK659" s="4">
        <v>31</v>
      </c>
      <c r="AL659" s="4">
        <v>26</v>
      </c>
    </row>
    <row r="660" spans="5:38" ht="16.149999999999999" thickBot="1" x14ac:dyDescent="0.55000000000000004">
      <c r="E660" s="101"/>
      <c r="F660" s="103"/>
      <c r="G660" s="4"/>
      <c r="H660" s="4"/>
      <c r="I660" s="4"/>
      <c r="J660" s="4"/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0</v>
      </c>
      <c r="S660" s="4">
        <v>0</v>
      </c>
      <c r="T660" s="4">
        <v>0</v>
      </c>
      <c r="U660" s="4">
        <v>0</v>
      </c>
      <c r="V660" s="4">
        <v>0</v>
      </c>
      <c r="W660" s="4">
        <v>0</v>
      </c>
      <c r="X660" s="4">
        <v>0</v>
      </c>
      <c r="Y660" s="4">
        <v>0</v>
      </c>
      <c r="Z660" s="4">
        <v>0</v>
      </c>
      <c r="AA660" s="4">
        <v>0</v>
      </c>
      <c r="AB660" s="4">
        <v>0</v>
      </c>
      <c r="AC660" s="4">
        <v>0</v>
      </c>
      <c r="AD660" s="4">
        <v>0</v>
      </c>
      <c r="AE660" s="4">
        <v>0</v>
      </c>
      <c r="AF660" s="4">
        <v>0</v>
      </c>
      <c r="AG660" s="4">
        <v>0</v>
      </c>
      <c r="AH660" s="4">
        <v>0</v>
      </c>
      <c r="AI660" s="4">
        <v>0</v>
      </c>
      <c r="AJ660" s="4">
        <v>0</v>
      </c>
      <c r="AK660" s="4">
        <v>0</v>
      </c>
      <c r="AL660" s="4">
        <v>0</v>
      </c>
    </row>
    <row r="661" spans="5:38" x14ac:dyDescent="0.5">
      <c r="E661" s="100">
        <v>1</v>
      </c>
      <c r="F661" s="98" t="s">
        <v>13</v>
      </c>
      <c r="G661" s="4">
        <v>1</v>
      </c>
      <c r="H661" s="4">
        <v>3</v>
      </c>
      <c r="I661" s="4">
        <v>4</v>
      </c>
      <c r="J661" s="4">
        <v>5</v>
      </c>
      <c r="K661" s="4">
        <v>25</v>
      </c>
      <c r="L661" s="4">
        <v>7</v>
      </c>
      <c r="M661" s="4">
        <v>19</v>
      </c>
      <c r="N661" s="4">
        <v>27</v>
      </c>
      <c r="O661" s="4">
        <v>14</v>
      </c>
      <c r="P661" s="4">
        <v>11</v>
      </c>
      <c r="Q661" s="4">
        <v>10</v>
      </c>
      <c r="R661" s="4">
        <v>30</v>
      </c>
      <c r="S661" s="4">
        <v>15</v>
      </c>
      <c r="T661" s="4">
        <v>16</v>
      </c>
      <c r="U661" s="4">
        <v>29</v>
      </c>
      <c r="V661" s="4">
        <v>8</v>
      </c>
      <c r="W661" s="4">
        <v>24</v>
      </c>
      <c r="X661" s="4">
        <v>9</v>
      </c>
      <c r="Y661" s="4">
        <v>17</v>
      </c>
      <c r="Z661" s="4">
        <v>28</v>
      </c>
      <c r="AA661" s="4">
        <v>20</v>
      </c>
      <c r="AB661" s="4">
        <v>22</v>
      </c>
      <c r="AC661" s="4">
        <v>13</v>
      </c>
      <c r="AD661" s="4">
        <v>18</v>
      </c>
      <c r="AE661" s="4">
        <v>32</v>
      </c>
      <c r="AF661" s="4">
        <v>6</v>
      </c>
      <c r="AG661" s="4">
        <v>23</v>
      </c>
      <c r="AH661" s="4">
        <v>12</v>
      </c>
      <c r="AI661" s="4">
        <v>21</v>
      </c>
      <c r="AJ661" s="4">
        <v>31</v>
      </c>
      <c r="AK661" s="4">
        <v>26</v>
      </c>
      <c r="AL661" s="4">
        <v>0</v>
      </c>
    </row>
    <row r="662" spans="5:38" ht="16.149999999999999" thickBot="1" x14ac:dyDescent="0.55000000000000004">
      <c r="E662" s="101"/>
      <c r="F662" s="99"/>
      <c r="G662" s="4">
        <v>2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4">
        <v>0</v>
      </c>
      <c r="T662" s="4">
        <v>0</v>
      </c>
      <c r="U662" s="4">
        <v>0</v>
      </c>
      <c r="V662" s="4">
        <v>0</v>
      </c>
      <c r="W662" s="4">
        <v>0</v>
      </c>
      <c r="X662" s="4">
        <v>0</v>
      </c>
      <c r="Y662" s="4">
        <v>0</v>
      </c>
      <c r="Z662" s="4">
        <v>0</v>
      </c>
      <c r="AA662" s="4">
        <v>0</v>
      </c>
      <c r="AB662" s="4">
        <v>0</v>
      </c>
      <c r="AC662" s="4">
        <v>0</v>
      </c>
      <c r="AD662" s="4">
        <v>0</v>
      </c>
      <c r="AE662" s="4">
        <v>0</v>
      </c>
      <c r="AF662" s="4">
        <v>0</v>
      </c>
      <c r="AG662" s="4">
        <v>0</v>
      </c>
      <c r="AH662" s="4">
        <v>0</v>
      </c>
      <c r="AI662" s="4">
        <v>0</v>
      </c>
      <c r="AJ662" s="4">
        <v>0</v>
      </c>
      <c r="AK662" s="4">
        <v>0</v>
      </c>
      <c r="AL662" s="4">
        <v>0</v>
      </c>
    </row>
    <row r="663" spans="5:38" x14ac:dyDescent="0.5">
      <c r="E663" s="100">
        <v>2</v>
      </c>
      <c r="F663" s="98" t="s">
        <v>13</v>
      </c>
      <c r="G663" s="4">
        <v>3</v>
      </c>
      <c r="H663" s="4">
        <v>4</v>
      </c>
      <c r="I663" s="4">
        <v>5</v>
      </c>
      <c r="J663" s="4">
        <v>25</v>
      </c>
      <c r="K663" s="4">
        <v>7</v>
      </c>
      <c r="L663" s="4">
        <v>19</v>
      </c>
      <c r="M663" s="4">
        <v>27</v>
      </c>
      <c r="N663" s="4">
        <v>14</v>
      </c>
      <c r="O663" s="4">
        <v>11</v>
      </c>
      <c r="P663" s="4">
        <v>10</v>
      </c>
      <c r="Q663" s="4">
        <v>30</v>
      </c>
      <c r="R663" s="4">
        <v>15</v>
      </c>
      <c r="S663" s="4">
        <v>16</v>
      </c>
      <c r="T663" s="4">
        <v>29</v>
      </c>
      <c r="U663" s="4">
        <v>8</v>
      </c>
      <c r="V663" s="4">
        <v>24</v>
      </c>
      <c r="W663" s="4">
        <v>9</v>
      </c>
      <c r="X663" s="4">
        <v>17</v>
      </c>
      <c r="Y663" s="4">
        <v>28</v>
      </c>
      <c r="Z663" s="4">
        <v>20</v>
      </c>
      <c r="AA663" s="4">
        <v>22</v>
      </c>
      <c r="AB663" s="4">
        <v>13</v>
      </c>
      <c r="AC663" s="4">
        <v>18</v>
      </c>
      <c r="AD663" s="4">
        <v>32</v>
      </c>
      <c r="AE663" s="4">
        <v>6</v>
      </c>
      <c r="AF663" s="4">
        <v>23</v>
      </c>
      <c r="AG663" s="4">
        <v>12</v>
      </c>
      <c r="AH663" s="4">
        <v>21</v>
      </c>
      <c r="AI663" s="4">
        <v>31</v>
      </c>
      <c r="AJ663" s="4">
        <v>26</v>
      </c>
      <c r="AK663" s="4">
        <v>0</v>
      </c>
      <c r="AL663" s="4">
        <v>0</v>
      </c>
    </row>
    <row r="664" spans="5:38" ht="16.149999999999999" thickBot="1" x14ac:dyDescent="0.55000000000000004">
      <c r="E664" s="101"/>
      <c r="F664" s="99"/>
      <c r="G664" s="4">
        <v>1</v>
      </c>
      <c r="H664" s="4">
        <v>2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4">
        <v>0</v>
      </c>
      <c r="T664" s="4">
        <v>0</v>
      </c>
      <c r="U664" s="4">
        <v>0</v>
      </c>
      <c r="V664" s="4">
        <v>0</v>
      </c>
      <c r="W664" s="4">
        <v>0</v>
      </c>
      <c r="X664" s="4">
        <v>0</v>
      </c>
      <c r="Y664" s="4">
        <v>0</v>
      </c>
      <c r="Z664" s="4">
        <v>0</v>
      </c>
      <c r="AA664" s="4">
        <v>0</v>
      </c>
      <c r="AB664" s="4">
        <v>0</v>
      </c>
      <c r="AC664" s="4">
        <v>0</v>
      </c>
      <c r="AD664" s="4">
        <v>0</v>
      </c>
      <c r="AE664" s="4">
        <v>0</v>
      </c>
      <c r="AF664" s="4">
        <v>0</v>
      </c>
      <c r="AG664" s="4">
        <v>0</v>
      </c>
      <c r="AH664" s="4">
        <v>0</v>
      </c>
      <c r="AI664" s="4">
        <v>0</v>
      </c>
      <c r="AJ664" s="4">
        <v>0</v>
      </c>
      <c r="AK664" s="4">
        <v>0</v>
      </c>
      <c r="AL664" s="4">
        <v>0</v>
      </c>
    </row>
    <row r="665" spans="5:38" x14ac:dyDescent="0.5">
      <c r="E665" s="100">
        <v>3</v>
      </c>
      <c r="F665" s="98" t="s">
        <v>17</v>
      </c>
      <c r="G665" s="4">
        <v>3</v>
      </c>
      <c r="H665" s="4">
        <v>4</v>
      </c>
      <c r="I665" s="4">
        <v>5</v>
      </c>
      <c r="J665" s="4">
        <v>25</v>
      </c>
      <c r="K665" s="4">
        <v>7</v>
      </c>
      <c r="L665" s="4">
        <v>19</v>
      </c>
      <c r="M665" s="4">
        <v>27</v>
      </c>
      <c r="N665" s="4">
        <v>14</v>
      </c>
      <c r="O665" s="4">
        <v>11</v>
      </c>
      <c r="P665" s="4">
        <v>10</v>
      </c>
      <c r="Q665" s="4">
        <v>30</v>
      </c>
      <c r="R665" s="4">
        <v>15</v>
      </c>
      <c r="S665" s="4">
        <v>16</v>
      </c>
      <c r="T665" s="4">
        <v>29</v>
      </c>
      <c r="U665" s="4">
        <v>8</v>
      </c>
      <c r="V665" s="4">
        <v>24</v>
      </c>
      <c r="W665" s="4">
        <v>9</v>
      </c>
      <c r="X665" s="4">
        <v>17</v>
      </c>
      <c r="Y665" s="4">
        <v>28</v>
      </c>
      <c r="Z665" s="4">
        <v>20</v>
      </c>
      <c r="AA665" s="4">
        <v>22</v>
      </c>
      <c r="AB665" s="4">
        <v>13</v>
      </c>
      <c r="AC665" s="4">
        <v>18</v>
      </c>
      <c r="AD665" s="4">
        <v>32</v>
      </c>
      <c r="AE665" s="4">
        <v>6</v>
      </c>
      <c r="AF665" s="4">
        <v>23</v>
      </c>
      <c r="AG665" s="4">
        <v>12</v>
      </c>
      <c r="AH665" s="4">
        <v>21</v>
      </c>
      <c r="AI665" s="4">
        <v>31</v>
      </c>
      <c r="AJ665" s="4">
        <v>26</v>
      </c>
      <c r="AK665" s="4">
        <v>0</v>
      </c>
      <c r="AL665" s="4">
        <v>0</v>
      </c>
    </row>
    <row r="666" spans="5:38" ht="16.149999999999999" thickBot="1" x14ac:dyDescent="0.55000000000000004">
      <c r="E666" s="101"/>
      <c r="F666" s="99"/>
      <c r="G666" s="4">
        <v>2</v>
      </c>
      <c r="H666" s="4">
        <v>1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0</v>
      </c>
      <c r="R666" s="4">
        <v>0</v>
      </c>
      <c r="S666" s="4">
        <v>0</v>
      </c>
      <c r="T666" s="4">
        <v>0</v>
      </c>
      <c r="U666" s="4">
        <v>0</v>
      </c>
      <c r="V666" s="4">
        <v>0</v>
      </c>
      <c r="W666" s="4">
        <v>0</v>
      </c>
      <c r="X666" s="4">
        <v>0</v>
      </c>
      <c r="Y666" s="4">
        <v>0</v>
      </c>
      <c r="Z666" s="4">
        <v>0</v>
      </c>
      <c r="AA666" s="4">
        <v>0</v>
      </c>
      <c r="AB666" s="4">
        <v>0</v>
      </c>
      <c r="AC666" s="4">
        <v>0</v>
      </c>
      <c r="AD666" s="4">
        <v>0</v>
      </c>
      <c r="AE666" s="4">
        <v>0</v>
      </c>
      <c r="AF666" s="4">
        <v>0</v>
      </c>
      <c r="AG666" s="4">
        <v>0</v>
      </c>
      <c r="AH666" s="4">
        <v>0</v>
      </c>
      <c r="AI666" s="4">
        <v>0</v>
      </c>
      <c r="AJ666" s="4">
        <v>0</v>
      </c>
      <c r="AK666" s="4">
        <v>0</v>
      </c>
      <c r="AL666" s="4">
        <v>0</v>
      </c>
    </row>
    <row r="667" spans="5:38" x14ac:dyDescent="0.5">
      <c r="E667" s="100">
        <v>4</v>
      </c>
      <c r="F667" s="98" t="s">
        <v>13</v>
      </c>
      <c r="G667" s="4">
        <v>4</v>
      </c>
      <c r="H667" s="4">
        <v>5</v>
      </c>
      <c r="I667" s="4">
        <v>25</v>
      </c>
      <c r="J667" s="4">
        <v>7</v>
      </c>
      <c r="K667" s="4">
        <v>19</v>
      </c>
      <c r="L667" s="4">
        <v>27</v>
      </c>
      <c r="M667" s="4">
        <v>14</v>
      </c>
      <c r="N667" s="4">
        <v>11</v>
      </c>
      <c r="O667" s="4">
        <v>10</v>
      </c>
      <c r="P667" s="4">
        <v>30</v>
      </c>
      <c r="Q667" s="4">
        <v>15</v>
      </c>
      <c r="R667" s="4">
        <v>16</v>
      </c>
      <c r="S667" s="4">
        <v>29</v>
      </c>
      <c r="T667" s="4">
        <v>8</v>
      </c>
      <c r="U667" s="4">
        <v>24</v>
      </c>
      <c r="V667" s="4">
        <v>9</v>
      </c>
      <c r="W667" s="4">
        <v>17</v>
      </c>
      <c r="X667" s="4">
        <v>28</v>
      </c>
      <c r="Y667" s="4">
        <v>20</v>
      </c>
      <c r="Z667" s="4">
        <v>22</v>
      </c>
      <c r="AA667" s="4">
        <v>13</v>
      </c>
      <c r="AB667" s="4">
        <v>18</v>
      </c>
      <c r="AC667" s="4">
        <v>32</v>
      </c>
      <c r="AD667" s="4">
        <v>6</v>
      </c>
      <c r="AE667" s="4">
        <v>23</v>
      </c>
      <c r="AF667" s="4">
        <v>12</v>
      </c>
      <c r="AG667" s="4">
        <v>21</v>
      </c>
      <c r="AH667" s="4">
        <v>31</v>
      </c>
      <c r="AI667" s="4">
        <v>26</v>
      </c>
      <c r="AJ667" s="4">
        <v>0</v>
      </c>
      <c r="AK667" s="4">
        <v>0</v>
      </c>
      <c r="AL667" s="4">
        <v>0</v>
      </c>
    </row>
    <row r="668" spans="5:38" ht="16.149999999999999" thickBot="1" x14ac:dyDescent="0.55000000000000004">
      <c r="E668" s="101"/>
      <c r="F668" s="99"/>
      <c r="G668" s="4">
        <v>3</v>
      </c>
      <c r="H668" s="4">
        <v>2</v>
      </c>
      <c r="I668" s="4">
        <v>1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0</v>
      </c>
      <c r="S668" s="4">
        <v>0</v>
      </c>
      <c r="T668" s="4">
        <v>0</v>
      </c>
      <c r="U668" s="4">
        <v>0</v>
      </c>
      <c r="V668" s="4">
        <v>0</v>
      </c>
      <c r="W668" s="4">
        <v>0</v>
      </c>
      <c r="X668" s="4">
        <v>0</v>
      </c>
      <c r="Y668" s="4">
        <v>0</v>
      </c>
      <c r="Z668" s="4">
        <v>0</v>
      </c>
      <c r="AA668" s="4">
        <v>0</v>
      </c>
      <c r="AB668" s="4">
        <v>0</v>
      </c>
      <c r="AC668" s="4">
        <v>0</v>
      </c>
      <c r="AD668" s="4">
        <v>0</v>
      </c>
      <c r="AE668" s="4">
        <v>0</v>
      </c>
      <c r="AF668" s="4">
        <v>0</v>
      </c>
      <c r="AG668" s="4">
        <v>0</v>
      </c>
      <c r="AH668" s="4">
        <v>0</v>
      </c>
      <c r="AI668" s="4">
        <v>0</v>
      </c>
      <c r="AJ668" s="4">
        <v>0</v>
      </c>
      <c r="AK668" s="4">
        <v>0</v>
      </c>
      <c r="AL668" s="4">
        <v>0</v>
      </c>
    </row>
    <row r="669" spans="5:38" x14ac:dyDescent="0.5">
      <c r="E669" s="100">
        <v>5</v>
      </c>
      <c r="F669" s="98" t="s">
        <v>13</v>
      </c>
      <c r="G669" s="4">
        <v>5</v>
      </c>
      <c r="H669" s="4">
        <v>25</v>
      </c>
      <c r="I669" s="4">
        <v>7</v>
      </c>
      <c r="J669" s="4">
        <v>19</v>
      </c>
      <c r="K669" s="4">
        <v>27</v>
      </c>
      <c r="L669" s="4">
        <v>14</v>
      </c>
      <c r="M669" s="4">
        <v>11</v>
      </c>
      <c r="N669" s="4">
        <v>10</v>
      </c>
      <c r="O669" s="4">
        <v>30</v>
      </c>
      <c r="P669" s="4">
        <v>15</v>
      </c>
      <c r="Q669" s="4">
        <v>16</v>
      </c>
      <c r="R669" s="4">
        <v>29</v>
      </c>
      <c r="S669" s="4">
        <v>8</v>
      </c>
      <c r="T669" s="4">
        <v>24</v>
      </c>
      <c r="U669" s="4">
        <v>9</v>
      </c>
      <c r="V669" s="4">
        <v>17</v>
      </c>
      <c r="W669" s="4">
        <v>28</v>
      </c>
      <c r="X669" s="4">
        <v>20</v>
      </c>
      <c r="Y669" s="4">
        <v>22</v>
      </c>
      <c r="Z669" s="4">
        <v>13</v>
      </c>
      <c r="AA669" s="4">
        <v>18</v>
      </c>
      <c r="AB669" s="4">
        <v>32</v>
      </c>
      <c r="AC669" s="4">
        <v>6</v>
      </c>
      <c r="AD669" s="4">
        <v>23</v>
      </c>
      <c r="AE669" s="4">
        <v>12</v>
      </c>
      <c r="AF669" s="4">
        <v>21</v>
      </c>
      <c r="AG669" s="4">
        <v>31</v>
      </c>
      <c r="AH669" s="4">
        <v>26</v>
      </c>
      <c r="AI669" s="4">
        <v>0</v>
      </c>
      <c r="AJ669" s="4">
        <v>0</v>
      </c>
      <c r="AK669" s="4">
        <v>0</v>
      </c>
      <c r="AL669" s="4">
        <v>0</v>
      </c>
    </row>
    <row r="670" spans="5:38" ht="16.149999999999999" thickBot="1" x14ac:dyDescent="0.55000000000000004">
      <c r="E670" s="101"/>
      <c r="F670" s="99"/>
      <c r="G670" s="4">
        <v>4</v>
      </c>
      <c r="H670" s="4">
        <v>3</v>
      </c>
      <c r="I670" s="4">
        <v>2</v>
      </c>
      <c r="J670" s="4">
        <v>1</v>
      </c>
      <c r="K670" s="4">
        <v>0</v>
      </c>
      <c r="L670" s="4">
        <v>0</v>
      </c>
      <c r="M670" s="4">
        <v>0</v>
      </c>
      <c r="N670" s="4">
        <v>0</v>
      </c>
      <c r="O670" s="4">
        <v>0</v>
      </c>
      <c r="P670" s="4">
        <v>0</v>
      </c>
      <c r="Q670" s="4">
        <v>0</v>
      </c>
      <c r="R670" s="4">
        <v>0</v>
      </c>
      <c r="S670" s="4">
        <v>0</v>
      </c>
      <c r="T670" s="4">
        <v>0</v>
      </c>
      <c r="U670" s="4">
        <v>0</v>
      </c>
      <c r="V670" s="4">
        <v>0</v>
      </c>
      <c r="W670" s="4">
        <v>0</v>
      </c>
      <c r="X670" s="4">
        <v>0</v>
      </c>
      <c r="Y670" s="4">
        <v>0</v>
      </c>
      <c r="Z670" s="4">
        <v>0</v>
      </c>
      <c r="AA670" s="4">
        <v>0</v>
      </c>
      <c r="AB670" s="4">
        <v>0</v>
      </c>
      <c r="AC670" s="4">
        <v>0</v>
      </c>
      <c r="AD670" s="4">
        <v>0</v>
      </c>
      <c r="AE670" s="4">
        <v>0</v>
      </c>
      <c r="AF670" s="4">
        <v>0</v>
      </c>
      <c r="AG670" s="4">
        <v>0</v>
      </c>
      <c r="AH670" s="4">
        <v>0</v>
      </c>
      <c r="AI670" s="4">
        <v>0</v>
      </c>
      <c r="AJ670" s="4">
        <v>0</v>
      </c>
      <c r="AK670" s="4">
        <v>0</v>
      </c>
      <c r="AL670" s="4">
        <v>0</v>
      </c>
    </row>
    <row r="671" spans="5:38" x14ac:dyDescent="0.5">
      <c r="E671" s="100">
        <v>6</v>
      </c>
      <c r="F671" s="98" t="s">
        <v>13</v>
      </c>
      <c r="G671" s="4">
        <v>25</v>
      </c>
      <c r="H671" s="4">
        <v>7</v>
      </c>
      <c r="I671" s="4">
        <v>19</v>
      </c>
      <c r="J671" s="4">
        <v>27</v>
      </c>
      <c r="K671" s="4">
        <v>14</v>
      </c>
      <c r="L671" s="4">
        <v>11</v>
      </c>
      <c r="M671" s="4">
        <v>10</v>
      </c>
      <c r="N671" s="4">
        <v>30</v>
      </c>
      <c r="O671" s="4">
        <v>15</v>
      </c>
      <c r="P671" s="4">
        <v>16</v>
      </c>
      <c r="Q671" s="4">
        <v>29</v>
      </c>
      <c r="R671" s="4">
        <v>8</v>
      </c>
      <c r="S671" s="4">
        <v>24</v>
      </c>
      <c r="T671" s="4">
        <v>9</v>
      </c>
      <c r="U671" s="4">
        <v>17</v>
      </c>
      <c r="V671" s="4">
        <v>28</v>
      </c>
      <c r="W671" s="4">
        <v>20</v>
      </c>
      <c r="X671" s="4">
        <v>22</v>
      </c>
      <c r="Y671" s="4">
        <v>13</v>
      </c>
      <c r="Z671" s="4">
        <v>18</v>
      </c>
      <c r="AA671" s="4">
        <v>32</v>
      </c>
      <c r="AB671" s="4">
        <v>6</v>
      </c>
      <c r="AC671" s="4">
        <v>23</v>
      </c>
      <c r="AD671" s="4">
        <v>12</v>
      </c>
      <c r="AE671" s="4">
        <v>21</v>
      </c>
      <c r="AF671" s="4">
        <v>31</v>
      </c>
      <c r="AG671" s="4">
        <v>26</v>
      </c>
      <c r="AH671" s="4">
        <v>0</v>
      </c>
      <c r="AI671" s="4">
        <v>0</v>
      </c>
      <c r="AJ671" s="4">
        <v>0</v>
      </c>
      <c r="AK671" s="4">
        <v>0</v>
      </c>
      <c r="AL671" s="4">
        <v>0</v>
      </c>
    </row>
    <row r="672" spans="5:38" ht="16.149999999999999" thickBot="1" x14ac:dyDescent="0.55000000000000004">
      <c r="E672" s="101"/>
      <c r="F672" s="99"/>
      <c r="G672" s="4">
        <v>5</v>
      </c>
      <c r="H672" s="4">
        <v>4</v>
      </c>
      <c r="I672" s="4">
        <v>3</v>
      </c>
      <c r="J672" s="4">
        <v>2</v>
      </c>
      <c r="K672" s="4">
        <v>1</v>
      </c>
      <c r="L672" s="4">
        <v>0</v>
      </c>
      <c r="M672" s="4">
        <v>0</v>
      </c>
      <c r="N672" s="4">
        <v>0</v>
      </c>
      <c r="O672" s="4">
        <v>0</v>
      </c>
      <c r="P672" s="4">
        <v>0</v>
      </c>
      <c r="Q672" s="4">
        <v>0</v>
      </c>
      <c r="R672" s="4">
        <v>0</v>
      </c>
      <c r="S672" s="4">
        <v>0</v>
      </c>
      <c r="T672" s="4">
        <v>0</v>
      </c>
      <c r="U672" s="4">
        <v>0</v>
      </c>
      <c r="V672" s="4">
        <v>0</v>
      </c>
      <c r="W672" s="4">
        <v>0</v>
      </c>
      <c r="X672" s="4">
        <v>0</v>
      </c>
      <c r="Y672" s="4">
        <v>0</v>
      </c>
      <c r="Z672" s="4">
        <v>0</v>
      </c>
      <c r="AA672" s="4">
        <v>0</v>
      </c>
      <c r="AB672" s="4">
        <v>0</v>
      </c>
      <c r="AC672" s="4">
        <v>0</v>
      </c>
      <c r="AD672" s="4">
        <v>0</v>
      </c>
      <c r="AE672" s="4">
        <v>0</v>
      </c>
      <c r="AF672" s="4">
        <v>0</v>
      </c>
      <c r="AG672" s="4">
        <v>0</v>
      </c>
      <c r="AH672" s="4">
        <v>0</v>
      </c>
      <c r="AI672" s="4">
        <v>0</v>
      </c>
      <c r="AJ672" s="4">
        <v>0</v>
      </c>
      <c r="AK672" s="4">
        <v>0</v>
      </c>
      <c r="AL672" s="4">
        <v>0</v>
      </c>
    </row>
  </sheetData>
  <mergeCells count="522">
    <mergeCell ref="E529:E530"/>
    <mergeCell ref="F529:F530"/>
    <mergeCell ref="E523:E524"/>
    <mergeCell ref="F523:F524"/>
    <mergeCell ref="E525:E526"/>
    <mergeCell ref="F525:F526"/>
    <mergeCell ref="E527:E528"/>
    <mergeCell ref="F527:F528"/>
    <mergeCell ref="E517:E518"/>
    <mergeCell ref="F517:F518"/>
    <mergeCell ref="E519:E520"/>
    <mergeCell ref="F519:F520"/>
    <mergeCell ref="E521:E522"/>
    <mergeCell ref="F521:F522"/>
    <mergeCell ref="E509:E510"/>
    <mergeCell ref="F509:F510"/>
    <mergeCell ref="E511:E512"/>
    <mergeCell ref="F511:F512"/>
    <mergeCell ref="E515:E516"/>
    <mergeCell ref="F515:F516"/>
    <mergeCell ref="E505:E506"/>
    <mergeCell ref="F505:F506"/>
    <mergeCell ref="E507:E508"/>
    <mergeCell ref="F507:F508"/>
    <mergeCell ref="E499:E500"/>
    <mergeCell ref="F499:F500"/>
    <mergeCell ref="E501:E502"/>
    <mergeCell ref="F501:F502"/>
    <mergeCell ref="E503:E504"/>
    <mergeCell ref="F503:F504"/>
    <mergeCell ref="E495:E496"/>
    <mergeCell ref="F495:F496"/>
    <mergeCell ref="E489:E490"/>
    <mergeCell ref="F489:F490"/>
    <mergeCell ref="E491:E492"/>
    <mergeCell ref="F491:F492"/>
    <mergeCell ref="E493:E494"/>
    <mergeCell ref="F493:F494"/>
    <mergeCell ref="E483:E484"/>
    <mergeCell ref="F483:F484"/>
    <mergeCell ref="E485:E486"/>
    <mergeCell ref="F485:F486"/>
    <mergeCell ref="E487:E488"/>
    <mergeCell ref="F487:F488"/>
    <mergeCell ref="E475:E476"/>
    <mergeCell ref="F475:F476"/>
    <mergeCell ref="E477:E478"/>
    <mergeCell ref="F477:F478"/>
    <mergeCell ref="E479:E480"/>
    <mergeCell ref="F479:F480"/>
    <mergeCell ref="E469:E470"/>
    <mergeCell ref="F469:F470"/>
    <mergeCell ref="E471:E472"/>
    <mergeCell ref="F471:F472"/>
    <mergeCell ref="E473:E474"/>
    <mergeCell ref="F473:F474"/>
    <mergeCell ref="E461:E462"/>
    <mergeCell ref="F461:F462"/>
    <mergeCell ref="E465:E466"/>
    <mergeCell ref="F465:F466"/>
    <mergeCell ref="E467:E468"/>
    <mergeCell ref="F467:F468"/>
    <mergeCell ref="E455:E456"/>
    <mergeCell ref="F455:F456"/>
    <mergeCell ref="E457:E458"/>
    <mergeCell ref="F457:F458"/>
    <mergeCell ref="E459:E460"/>
    <mergeCell ref="F459:F460"/>
    <mergeCell ref="E449:E450"/>
    <mergeCell ref="F449:F450"/>
    <mergeCell ref="E451:E452"/>
    <mergeCell ref="F451:F452"/>
    <mergeCell ref="E453:E454"/>
    <mergeCell ref="F453:F454"/>
    <mergeCell ref="E441:E442"/>
    <mergeCell ref="F441:F442"/>
    <mergeCell ref="E443:E444"/>
    <mergeCell ref="F443:F444"/>
    <mergeCell ref="E447:E448"/>
    <mergeCell ref="F447:F448"/>
    <mergeCell ref="E435:E436"/>
    <mergeCell ref="F435:F436"/>
    <mergeCell ref="E437:E438"/>
    <mergeCell ref="F437:F438"/>
    <mergeCell ref="E439:E440"/>
    <mergeCell ref="F439:F440"/>
    <mergeCell ref="E427:E428"/>
    <mergeCell ref="F427:F428"/>
    <mergeCell ref="E431:E432"/>
    <mergeCell ref="F431:F432"/>
    <mergeCell ref="E433:E434"/>
    <mergeCell ref="F433:F434"/>
    <mergeCell ref="E421:E422"/>
    <mergeCell ref="F421:F422"/>
    <mergeCell ref="E423:E424"/>
    <mergeCell ref="F423:F424"/>
    <mergeCell ref="E425:E426"/>
    <mergeCell ref="F425:F426"/>
    <mergeCell ref="E415:E416"/>
    <mergeCell ref="F415:F416"/>
    <mergeCell ref="E417:E418"/>
    <mergeCell ref="F417:F418"/>
    <mergeCell ref="E419:E420"/>
    <mergeCell ref="F419:F420"/>
    <mergeCell ref="E407:E408"/>
    <mergeCell ref="F407:F408"/>
    <mergeCell ref="E409:E410"/>
    <mergeCell ref="F409:F410"/>
    <mergeCell ref="E411:E412"/>
    <mergeCell ref="F411:F412"/>
    <mergeCell ref="E401:E402"/>
    <mergeCell ref="F401:F402"/>
    <mergeCell ref="E403:E404"/>
    <mergeCell ref="F403:F404"/>
    <mergeCell ref="E405:E406"/>
    <mergeCell ref="F405:F406"/>
    <mergeCell ref="E393:E394"/>
    <mergeCell ref="F393:F394"/>
    <mergeCell ref="E395:E396"/>
    <mergeCell ref="F395:F396"/>
    <mergeCell ref="E397:E398"/>
    <mergeCell ref="F397:F398"/>
    <mergeCell ref="E389:E390"/>
    <mergeCell ref="F389:F390"/>
    <mergeCell ref="E391:E392"/>
    <mergeCell ref="F391:F392"/>
    <mergeCell ref="E381:E382"/>
    <mergeCell ref="F381:F382"/>
    <mergeCell ref="E383:E384"/>
    <mergeCell ref="F383:F384"/>
    <mergeCell ref="E387:E388"/>
    <mergeCell ref="F387:F388"/>
    <mergeCell ref="E375:E376"/>
    <mergeCell ref="F375:F376"/>
    <mergeCell ref="E377:E378"/>
    <mergeCell ref="F377:F378"/>
    <mergeCell ref="E379:E380"/>
    <mergeCell ref="F379:F380"/>
    <mergeCell ref="E367:E368"/>
    <mergeCell ref="F367:F368"/>
    <mergeCell ref="E369:E370"/>
    <mergeCell ref="F369:F370"/>
    <mergeCell ref="E373:E374"/>
    <mergeCell ref="F373:F374"/>
    <mergeCell ref="E361:E362"/>
    <mergeCell ref="F361:F362"/>
    <mergeCell ref="E363:E364"/>
    <mergeCell ref="F363:F364"/>
    <mergeCell ref="E365:E366"/>
    <mergeCell ref="F365:F366"/>
    <mergeCell ref="E353:E354"/>
    <mergeCell ref="F353:F354"/>
    <mergeCell ref="E355:E356"/>
    <mergeCell ref="F355:F356"/>
    <mergeCell ref="E359:E360"/>
    <mergeCell ref="F359:F360"/>
    <mergeCell ref="E347:E348"/>
    <mergeCell ref="F347:F348"/>
    <mergeCell ref="E349:E350"/>
    <mergeCell ref="F349:F350"/>
    <mergeCell ref="E351:E352"/>
    <mergeCell ref="F351:F352"/>
    <mergeCell ref="E339:E340"/>
    <mergeCell ref="F339:F340"/>
    <mergeCell ref="E341:E342"/>
    <mergeCell ref="F341:F342"/>
    <mergeCell ref="E345:E346"/>
    <mergeCell ref="F345:F346"/>
    <mergeCell ref="E333:E334"/>
    <mergeCell ref="F333:F334"/>
    <mergeCell ref="E335:E336"/>
    <mergeCell ref="F335:F336"/>
    <mergeCell ref="E337:E338"/>
    <mergeCell ref="F337:F338"/>
    <mergeCell ref="E325:E326"/>
    <mergeCell ref="F325:F326"/>
    <mergeCell ref="E327:E328"/>
    <mergeCell ref="F327:F328"/>
    <mergeCell ref="E331:E332"/>
    <mergeCell ref="F331:F332"/>
    <mergeCell ref="E319:E320"/>
    <mergeCell ref="F319:F320"/>
    <mergeCell ref="E321:E322"/>
    <mergeCell ref="F321:F322"/>
    <mergeCell ref="E323:E324"/>
    <mergeCell ref="F323:F324"/>
    <mergeCell ref="E311:E312"/>
    <mergeCell ref="F311:F312"/>
    <mergeCell ref="E313:E314"/>
    <mergeCell ref="F313:F314"/>
    <mergeCell ref="E315:E316"/>
    <mergeCell ref="F315:F316"/>
    <mergeCell ref="E305:E306"/>
    <mergeCell ref="F305:F306"/>
    <mergeCell ref="E307:E308"/>
    <mergeCell ref="F307:F308"/>
    <mergeCell ref="E309:E310"/>
    <mergeCell ref="F309:F310"/>
    <mergeCell ref="E297:E298"/>
    <mergeCell ref="F297:F298"/>
    <mergeCell ref="E299:E300"/>
    <mergeCell ref="F299:F300"/>
    <mergeCell ref="E301:E302"/>
    <mergeCell ref="F301:F302"/>
    <mergeCell ref="E291:E292"/>
    <mergeCell ref="F291:F292"/>
    <mergeCell ref="E293:E294"/>
    <mergeCell ref="F293:F294"/>
    <mergeCell ref="E295:E296"/>
    <mergeCell ref="F295:F296"/>
    <mergeCell ref="E285:E286"/>
    <mergeCell ref="F285:F286"/>
    <mergeCell ref="E287:E288"/>
    <mergeCell ref="F287:F288"/>
    <mergeCell ref="E279:E280"/>
    <mergeCell ref="F279:F280"/>
    <mergeCell ref="E281:E282"/>
    <mergeCell ref="F281:F282"/>
    <mergeCell ref="E283:E284"/>
    <mergeCell ref="F283:F284"/>
    <mergeCell ref="E275:E276"/>
    <mergeCell ref="F275:F276"/>
    <mergeCell ref="E271:E272"/>
    <mergeCell ref="F271:F272"/>
    <mergeCell ref="E273:E274"/>
    <mergeCell ref="F273:F274"/>
    <mergeCell ref="E265:E266"/>
    <mergeCell ref="F265:F266"/>
    <mergeCell ref="E267:E268"/>
    <mergeCell ref="F267:F268"/>
    <mergeCell ref="E269:E270"/>
    <mergeCell ref="F269:F270"/>
    <mergeCell ref="E257:E258"/>
    <mergeCell ref="F257:F258"/>
    <mergeCell ref="E259:E260"/>
    <mergeCell ref="F259:F260"/>
    <mergeCell ref="E261:E262"/>
    <mergeCell ref="F261:F262"/>
    <mergeCell ref="E251:E252"/>
    <mergeCell ref="F251:F252"/>
    <mergeCell ref="E253:E254"/>
    <mergeCell ref="F253:F254"/>
    <mergeCell ref="E255:E256"/>
    <mergeCell ref="F255:F256"/>
    <mergeCell ref="E243:E244"/>
    <mergeCell ref="F243:F244"/>
    <mergeCell ref="E245:E246"/>
    <mergeCell ref="F245:F246"/>
    <mergeCell ref="E247:E248"/>
    <mergeCell ref="F247:F248"/>
    <mergeCell ref="E237:E238"/>
    <mergeCell ref="F237:F238"/>
    <mergeCell ref="E239:E240"/>
    <mergeCell ref="F239:F240"/>
    <mergeCell ref="E241:E242"/>
    <mergeCell ref="F241:F242"/>
    <mergeCell ref="E231:E232"/>
    <mergeCell ref="F231:F232"/>
    <mergeCell ref="E233:E234"/>
    <mergeCell ref="F233:F234"/>
    <mergeCell ref="E225:E226"/>
    <mergeCell ref="F225:F226"/>
    <mergeCell ref="E227:E228"/>
    <mergeCell ref="F227:F228"/>
    <mergeCell ref="E229:E230"/>
    <mergeCell ref="F229:F230"/>
    <mergeCell ref="E217:E218"/>
    <mergeCell ref="F217:F218"/>
    <mergeCell ref="E219:E220"/>
    <mergeCell ref="F219:F220"/>
    <mergeCell ref="E223:E224"/>
    <mergeCell ref="F223:F224"/>
    <mergeCell ref="E211:E212"/>
    <mergeCell ref="F211:F212"/>
    <mergeCell ref="E213:E214"/>
    <mergeCell ref="F213:F214"/>
    <mergeCell ref="E215:E216"/>
    <mergeCell ref="F215:F216"/>
    <mergeCell ref="E203:E204"/>
    <mergeCell ref="F203:F204"/>
    <mergeCell ref="E205:E206"/>
    <mergeCell ref="F205:F206"/>
    <mergeCell ref="E207:E208"/>
    <mergeCell ref="F207:F208"/>
    <mergeCell ref="E197:E198"/>
    <mergeCell ref="F197:F198"/>
    <mergeCell ref="E199:E200"/>
    <mergeCell ref="F199:F200"/>
    <mergeCell ref="E201:E202"/>
    <mergeCell ref="F201:F202"/>
    <mergeCell ref="E189:E190"/>
    <mergeCell ref="F189:F190"/>
    <mergeCell ref="E191:E192"/>
    <mergeCell ref="F191:F192"/>
    <mergeCell ref="E193:E194"/>
    <mergeCell ref="F193:F194"/>
    <mergeCell ref="E169:E170"/>
    <mergeCell ref="F169:F170"/>
    <mergeCell ref="E171:E172"/>
    <mergeCell ref="F171:F172"/>
    <mergeCell ref="E185:E186"/>
    <mergeCell ref="F185:F186"/>
    <mergeCell ref="E187:E188"/>
    <mergeCell ref="F187:F188"/>
    <mergeCell ref="E165:E166"/>
    <mergeCell ref="F165:F166"/>
    <mergeCell ref="E177:E178"/>
    <mergeCell ref="F177:F178"/>
    <mergeCell ref="E179:E180"/>
    <mergeCell ref="F179:F180"/>
    <mergeCell ref="E183:E184"/>
    <mergeCell ref="F183:F184"/>
    <mergeCell ref="E173:E174"/>
    <mergeCell ref="F173:F174"/>
    <mergeCell ref="E175:E176"/>
    <mergeCell ref="F175:F176"/>
    <mergeCell ref="E145:E146"/>
    <mergeCell ref="F145:F146"/>
    <mergeCell ref="E159:E160"/>
    <mergeCell ref="F159:F160"/>
    <mergeCell ref="E161:E162"/>
    <mergeCell ref="F161:F162"/>
    <mergeCell ref="E163:E164"/>
    <mergeCell ref="F163:F164"/>
    <mergeCell ref="E151:E152"/>
    <mergeCell ref="F151:F152"/>
    <mergeCell ref="E155:E156"/>
    <mergeCell ref="F155:F156"/>
    <mergeCell ref="E157:E158"/>
    <mergeCell ref="F157:F158"/>
    <mergeCell ref="E127:E128"/>
    <mergeCell ref="F127:F128"/>
    <mergeCell ref="E149:E150"/>
    <mergeCell ref="F149:F150"/>
    <mergeCell ref="E141:E142"/>
    <mergeCell ref="F141:F142"/>
    <mergeCell ref="E143:E144"/>
    <mergeCell ref="F143:F144"/>
    <mergeCell ref="E121:E122"/>
    <mergeCell ref="F121:F122"/>
    <mergeCell ref="E123:E124"/>
    <mergeCell ref="F123:F124"/>
    <mergeCell ref="E135:E136"/>
    <mergeCell ref="F135:F136"/>
    <mergeCell ref="E137:E138"/>
    <mergeCell ref="F137:F138"/>
    <mergeCell ref="E147:E148"/>
    <mergeCell ref="F147:F148"/>
    <mergeCell ref="E129:E130"/>
    <mergeCell ref="F129:F130"/>
    <mergeCell ref="E131:E132"/>
    <mergeCell ref="F131:F132"/>
    <mergeCell ref="E133:E134"/>
    <mergeCell ref="F133:F134"/>
    <mergeCell ref="E115:E116"/>
    <mergeCell ref="F115:F116"/>
    <mergeCell ref="E117:E118"/>
    <mergeCell ref="F117:F118"/>
    <mergeCell ref="E119:E120"/>
    <mergeCell ref="F119:F120"/>
    <mergeCell ref="E107:E108"/>
    <mergeCell ref="F107:F108"/>
    <mergeCell ref="E109:E110"/>
    <mergeCell ref="F109:F110"/>
    <mergeCell ref="E113:E114"/>
    <mergeCell ref="F113:F114"/>
    <mergeCell ref="E103:E104"/>
    <mergeCell ref="F103:F104"/>
    <mergeCell ref="E105:E106"/>
    <mergeCell ref="F105:F106"/>
    <mergeCell ref="E93:E94"/>
    <mergeCell ref="F93:F94"/>
    <mergeCell ref="E95:E96"/>
    <mergeCell ref="F95:F96"/>
    <mergeCell ref="E99:E100"/>
    <mergeCell ref="F99:F100"/>
    <mergeCell ref="E73:E74"/>
    <mergeCell ref="F73:F74"/>
    <mergeCell ref="E75:E76"/>
    <mergeCell ref="F75:F76"/>
    <mergeCell ref="E77:E78"/>
    <mergeCell ref="F77:F78"/>
    <mergeCell ref="E533:E534"/>
    <mergeCell ref="F533:F534"/>
    <mergeCell ref="E535:E536"/>
    <mergeCell ref="F535:F536"/>
    <mergeCell ref="E87:E88"/>
    <mergeCell ref="F87:F88"/>
    <mergeCell ref="E89:E90"/>
    <mergeCell ref="F89:F90"/>
    <mergeCell ref="E91:E92"/>
    <mergeCell ref="F91:F92"/>
    <mergeCell ref="E79:E80"/>
    <mergeCell ref="F79:F80"/>
    <mergeCell ref="E81:E82"/>
    <mergeCell ref="F81:F82"/>
    <mergeCell ref="E85:E86"/>
    <mergeCell ref="F85:F86"/>
    <mergeCell ref="E101:E102"/>
    <mergeCell ref="F101:F102"/>
    <mergeCell ref="E549:E550"/>
    <mergeCell ref="F549:F550"/>
    <mergeCell ref="E537:E538"/>
    <mergeCell ref="F537:F538"/>
    <mergeCell ref="E539:E540"/>
    <mergeCell ref="F539:F540"/>
    <mergeCell ref="E541:E542"/>
    <mergeCell ref="F541:F542"/>
    <mergeCell ref="E543:E544"/>
    <mergeCell ref="F543:F544"/>
    <mergeCell ref="E545:E546"/>
    <mergeCell ref="F545:F546"/>
    <mergeCell ref="E551:E552"/>
    <mergeCell ref="F551:F552"/>
    <mergeCell ref="E553:E554"/>
    <mergeCell ref="F553:F554"/>
    <mergeCell ref="E555:E556"/>
    <mergeCell ref="F555:F556"/>
    <mergeCell ref="E557:E558"/>
    <mergeCell ref="F557:F558"/>
    <mergeCell ref="E559:E560"/>
    <mergeCell ref="F559:F560"/>
    <mergeCell ref="E561:E562"/>
    <mergeCell ref="F561:F562"/>
    <mergeCell ref="E563:E564"/>
    <mergeCell ref="F563:F564"/>
    <mergeCell ref="E565:E566"/>
    <mergeCell ref="F565:F566"/>
    <mergeCell ref="E569:E570"/>
    <mergeCell ref="F569:F570"/>
    <mergeCell ref="E571:E572"/>
    <mergeCell ref="F571:F572"/>
    <mergeCell ref="E573:E574"/>
    <mergeCell ref="F573:F574"/>
    <mergeCell ref="E575:E576"/>
    <mergeCell ref="F575:F576"/>
    <mergeCell ref="E577:E578"/>
    <mergeCell ref="F577:F578"/>
    <mergeCell ref="E579:E580"/>
    <mergeCell ref="F579:F580"/>
    <mergeCell ref="E581:E582"/>
    <mergeCell ref="F581:F582"/>
    <mergeCell ref="E583:E584"/>
    <mergeCell ref="F583:F584"/>
    <mergeCell ref="E587:E588"/>
    <mergeCell ref="F587:F588"/>
    <mergeCell ref="E589:E590"/>
    <mergeCell ref="F589:F590"/>
    <mergeCell ref="E591:E592"/>
    <mergeCell ref="F591:F592"/>
    <mergeCell ref="E593:E594"/>
    <mergeCell ref="F593:F594"/>
    <mergeCell ref="E595:E596"/>
    <mergeCell ref="F595:F596"/>
    <mergeCell ref="E597:E598"/>
    <mergeCell ref="F597:F598"/>
    <mergeCell ref="E599:E600"/>
    <mergeCell ref="F599:F600"/>
    <mergeCell ref="E601:E602"/>
    <mergeCell ref="F601:F602"/>
    <mergeCell ref="E603:E604"/>
    <mergeCell ref="F603:F604"/>
    <mergeCell ref="E625:E626"/>
    <mergeCell ref="F625:F626"/>
    <mergeCell ref="E627:E628"/>
    <mergeCell ref="F627:F628"/>
    <mergeCell ref="E629:E630"/>
    <mergeCell ref="F629:F630"/>
    <mergeCell ref="E631:E632"/>
    <mergeCell ref="F631:F632"/>
    <mergeCell ref="E633:E634"/>
    <mergeCell ref="F633:F634"/>
    <mergeCell ref="E615:E616"/>
    <mergeCell ref="F615:F616"/>
    <mergeCell ref="E617:E618"/>
    <mergeCell ref="F617:F618"/>
    <mergeCell ref="E619:E620"/>
    <mergeCell ref="F619:F620"/>
    <mergeCell ref="E621:E622"/>
    <mergeCell ref="F621:F622"/>
    <mergeCell ref="E607:E608"/>
    <mergeCell ref="F607:F608"/>
    <mergeCell ref="E609:E610"/>
    <mergeCell ref="F609:F610"/>
    <mergeCell ref="E611:E612"/>
    <mergeCell ref="F611:F612"/>
    <mergeCell ref="E613:E614"/>
    <mergeCell ref="F613:F614"/>
    <mergeCell ref="E635:E636"/>
    <mergeCell ref="F635:F636"/>
    <mergeCell ref="E637:E638"/>
    <mergeCell ref="F637:F638"/>
    <mergeCell ref="E641:E642"/>
    <mergeCell ref="F641:F642"/>
    <mergeCell ref="E643:E644"/>
    <mergeCell ref="F643:F644"/>
    <mergeCell ref="E645:E646"/>
    <mergeCell ref="F645:F646"/>
    <mergeCell ref="E659:E660"/>
    <mergeCell ref="F659:F660"/>
    <mergeCell ref="E647:E648"/>
    <mergeCell ref="F647:F648"/>
    <mergeCell ref="E649:E650"/>
    <mergeCell ref="F649:F650"/>
    <mergeCell ref="E651:E652"/>
    <mergeCell ref="F651:F652"/>
    <mergeCell ref="E653:E654"/>
    <mergeCell ref="F653:F654"/>
    <mergeCell ref="E655:E656"/>
    <mergeCell ref="F655:F656"/>
    <mergeCell ref="E671:E672"/>
    <mergeCell ref="F671:F672"/>
    <mergeCell ref="E661:E662"/>
    <mergeCell ref="F661:F662"/>
    <mergeCell ref="E663:E664"/>
    <mergeCell ref="F663:F664"/>
    <mergeCell ref="E665:E666"/>
    <mergeCell ref="F665:F666"/>
    <mergeCell ref="E667:E668"/>
    <mergeCell ref="F667:F668"/>
    <mergeCell ref="E669:E670"/>
    <mergeCell ref="F669:F670"/>
  </mergeCells>
  <conditionalFormatting sqref="G3:I70">
    <cfRule type="cellIs" dxfId="143" priority="50" operator="equal">
      <formula>3</formula>
    </cfRule>
    <cfRule type="cellIs" dxfId="142" priority="51" operator="equal">
      <formula>2</formula>
    </cfRule>
    <cfRule type="cellIs" dxfId="141" priority="52" operator="equal">
      <formula>1</formula>
    </cfRule>
  </conditionalFormatting>
  <conditionalFormatting sqref="G73:AL82 G141:AL152 G169:AL180 G265:AL276 G387:AL398 G499:AL512 G607:AL622">
    <cfRule type="expression" dxfId="140" priority="49">
      <formula>G73=0</formula>
    </cfRule>
  </conditionalFormatting>
  <conditionalFormatting sqref="G85:AL96">
    <cfRule type="expression" dxfId="139" priority="48">
      <formula>G85=0</formula>
    </cfRule>
  </conditionalFormatting>
  <conditionalFormatting sqref="G99:AL110">
    <cfRule type="expression" dxfId="138" priority="47">
      <formula>G99=0</formula>
    </cfRule>
  </conditionalFormatting>
  <conditionalFormatting sqref="G127:AL138">
    <cfRule type="expression" dxfId="137" priority="44">
      <formula>G127=0</formula>
    </cfRule>
  </conditionalFormatting>
  <conditionalFormatting sqref="G113:AL124">
    <cfRule type="expression" dxfId="136" priority="43">
      <formula>G113=0</formula>
    </cfRule>
  </conditionalFormatting>
  <conditionalFormatting sqref="G155:AL166">
    <cfRule type="expression" dxfId="135" priority="41">
      <formula>G155=0</formula>
    </cfRule>
  </conditionalFormatting>
  <conditionalFormatting sqref="G183:AL194">
    <cfRule type="expression" dxfId="134" priority="38">
      <formula>G183=0</formula>
    </cfRule>
  </conditionalFormatting>
  <conditionalFormatting sqref="G197:AL208">
    <cfRule type="expression" dxfId="133" priority="37">
      <formula>G197=0</formula>
    </cfRule>
  </conditionalFormatting>
  <conditionalFormatting sqref="G211:AL220">
    <cfRule type="expression" dxfId="132" priority="36">
      <formula>G211=0</formula>
    </cfRule>
  </conditionalFormatting>
  <conditionalFormatting sqref="G223:AL234">
    <cfRule type="expression" dxfId="131" priority="35">
      <formula>G223=0</formula>
    </cfRule>
  </conditionalFormatting>
  <conditionalFormatting sqref="G237:AL248">
    <cfRule type="expression" dxfId="130" priority="33">
      <formula>G237=0</formula>
    </cfRule>
  </conditionalFormatting>
  <conditionalFormatting sqref="G251:AL262">
    <cfRule type="expression" dxfId="129" priority="31">
      <formula>G251=0</formula>
    </cfRule>
  </conditionalFormatting>
  <conditionalFormatting sqref="G279:AL288">
    <cfRule type="expression" dxfId="128" priority="29">
      <formula>G279=0</formula>
    </cfRule>
  </conditionalFormatting>
  <conditionalFormatting sqref="G291:AL302">
    <cfRule type="expression" dxfId="127" priority="27">
      <formula>G291=0</formula>
    </cfRule>
  </conditionalFormatting>
  <conditionalFormatting sqref="G305:AL316">
    <cfRule type="expression" dxfId="126" priority="26">
      <formula>G305=0</formula>
    </cfRule>
  </conditionalFormatting>
  <conditionalFormatting sqref="G319:AL328">
    <cfRule type="expression" dxfId="125" priority="25">
      <formula>G319=0</formula>
    </cfRule>
  </conditionalFormatting>
  <conditionalFormatting sqref="G331:AL342">
    <cfRule type="expression" dxfId="124" priority="24">
      <formula>G331=0</formula>
    </cfRule>
  </conditionalFormatting>
  <conditionalFormatting sqref="G345:AL356">
    <cfRule type="expression" dxfId="123" priority="23">
      <formula>G345=0</formula>
    </cfRule>
  </conditionalFormatting>
  <conditionalFormatting sqref="G359:AL370">
    <cfRule type="expression" dxfId="122" priority="22">
      <formula>G359=0</formula>
    </cfRule>
  </conditionalFormatting>
  <conditionalFormatting sqref="G373:AL384">
    <cfRule type="expression" dxfId="121" priority="21">
      <formula>G373=0</formula>
    </cfRule>
  </conditionalFormatting>
  <conditionalFormatting sqref="G401:AL412">
    <cfRule type="expression" dxfId="120" priority="19">
      <formula>G401=0</formula>
    </cfRule>
  </conditionalFormatting>
  <conditionalFormatting sqref="G415:AL428">
    <cfRule type="expression" dxfId="119" priority="18">
      <formula>G415=0</formula>
    </cfRule>
  </conditionalFormatting>
  <conditionalFormatting sqref="G431:AL444">
    <cfRule type="expression" dxfId="118" priority="17">
      <formula>G431=0</formula>
    </cfRule>
  </conditionalFormatting>
  <conditionalFormatting sqref="G447:AL462">
    <cfRule type="expression" dxfId="117" priority="16">
      <formula>G447=0</formula>
    </cfRule>
  </conditionalFormatting>
  <conditionalFormatting sqref="G465:AL480">
    <cfRule type="expression" dxfId="116" priority="15">
      <formula>G465=0</formula>
    </cfRule>
  </conditionalFormatting>
  <conditionalFormatting sqref="G483:AL496">
    <cfRule type="expression" dxfId="115" priority="14">
      <formula>G483=0</formula>
    </cfRule>
  </conditionalFormatting>
  <conditionalFormatting sqref="G515:AL530">
    <cfRule type="expression" dxfId="114" priority="11">
      <formula>G515=0</formula>
    </cfRule>
  </conditionalFormatting>
  <conditionalFormatting sqref="G533:AL546">
    <cfRule type="expression" dxfId="113" priority="10">
      <formula>G533=0</formula>
    </cfRule>
  </conditionalFormatting>
  <conditionalFormatting sqref="G549:AL566">
    <cfRule type="expression" dxfId="112" priority="9">
      <formula>G549=0</formula>
    </cfRule>
  </conditionalFormatting>
  <conditionalFormatting sqref="G569:AL584">
    <cfRule type="expression" dxfId="111" priority="8">
      <formula>G569=0</formula>
    </cfRule>
  </conditionalFormatting>
  <conditionalFormatting sqref="G587:AL604">
    <cfRule type="expression" dxfId="110" priority="7">
      <formula>G587=0</formula>
    </cfRule>
  </conditionalFormatting>
  <conditionalFormatting sqref="G625:AL638">
    <cfRule type="expression" dxfId="109" priority="4">
      <formula>G625=0</formula>
    </cfRule>
  </conditionalFormatting>
  <conditionalFormatting sqref="G641:AL656">
    <cfRule type="expression" dxfId="108" priority="3">
      <formula>G641=0</formula>
    </cfRule>
  </conditionalFormatting>
  <conditionalFormatting sqref="G659:AL672">
    <cfRule type="expression" dxfId="107" priority="1">
      <formula>G659=0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E428-7F0D-4A33-98B8-54BEE11D1291}">
  <dimension ref="C3:FU66"/>
  <sheetViews>
    <sheetView showGridLines="0" topLeftCell="BP1" zoomScale="115" zoomScaleNormal="115" workbookViewId="0">
      <selection activeCell="CQ5" sqref="CQ5"/>
    </sheetView>
  </sheetViews>
  <sheetFormatPr baseColWidth="10" defaultColWidth="3.9375" defaultRowHeight="15.75" x14ac:dyDescent="0.5"/>
  <sheetData>
    <row r="3" spans="3:177" x14ac:dyDescent="0.5">
      <c r="FP3" t="s">
        <v>79</v>
      </c>
    </row>
    <row r="4" spans="3:177" x14ac:dyDescent="0.5">
      <c r="C4" s="25">
        <v>1</v>
      </c>
      <c r="D4" s="25">
        <v>2</v>
      </c>
      <c r="E4" s="25">
        <v>3</v>
      </c>
      <c r="F4" s="25">
        <v>4</v>
      </c>
      <c r="G4" s="25">
        <v>5</v>
      </c>
      <c r="H4" s="25">
        <v>6</v>
      </c>
      <c r="I4" s="25">
        <v>7</v>
      </c>
      <c r="J4" s="25">
        <v>8</v>
      </c>
      <c r="K4" s="25">
        <v>9</v>
      </c>
      <c r="L4" s="25">
        <v>10</v>
      </c>
      <c r="M4" s="25">
        <v>11</v>
      </c>
      <c r="N4" s="25">
        <v>12</v>
      </c>
      <c r="O4" s="25">
        <v>13</v>
      </c>
      <c r="P4" s="25">
        <v>14</v>
      </c>
      <c r="Q4" s="25">
        <v>15</v>
      </c>
      <c r="R4" s="25">
        <v>16</v>
      </c>
      <c r="S4" s="25">
        <v>17</v>
      </c>
      <c r="T4" s="25">
        <v>18</v>
      </c>
      <c r="U4" s="25">
        <v>19</v>
      </c>
      <c r="V4" s="25">
        <v>20</v>
      </c>
      <c r="W4" s="25">
        <v>21</v>
      </c>
      <c r="X4" s="25">
        <v>22</v>
      </c>
      <c r="Y4" s="25">
        <v>23</v>
      </c>
      <c r="Z4" s="25">
        <v>24</v>
      </c>
      <c r="AA4" s="25">
        <v>25</v>
      </c>
      <c r="AB4" s="25">
        <v>26</v>
      </c>
      <c r="AC4" s="25">
        <v>27</v>
      </c>
      <c r="AD4" s="25">
        <v>28</v>
      </c>
      <c r="AE4" s="25">
        <v>29</v>
      </c>
      <c r="AF4" s="25">
        <v>30</v>
      </c>
      <c r="AG4" s="25"/>
      <c r="AH4" s="25"/>
      <c r="AK4" s="95" t="s">
        <v>71</v>
      </c>
      <c r="AL4" s="4">
        <v>1</v>
      </c>
      <c r="AM4" s="4">
        <f>AL4+4</f>
        <v>5</v>
      </c>
      <c r="BP4" s="25">
        <v>1</v>
      </c>
      <c r="BQ4" s="25">
        <v>2</v>
      </c>
      <c r="BR4" s="25">
        <v>3</v>
      </c>
      <c r="BS4" s="25">
        <v>4</v>
      </c>
      <c r="BT4" s="25">
        <v>5</v>
      </c>
      <c r="BU4" s="25">
        <v>6</v>
      </c>
      <c r="BV4" s="25">
        <v>7</v>
      </c>
      <c r="BW4" s="25">
        <v>8</v>
      </c>
      <c r="BX4" s="25">
        <v>9</v>
      </c>
      <c r="BY4" s="25">
        <v>10</v>
      </c>
      <c r="BZ4" s="25">
        <v>11</v>
      </c>
      <c r="CA4" s="25">
        <v>12</v>
      </c>
      <c r="CB4" s="25">
        <v>13</v>
      </c>
      <c r="CC4" s="25">
        <v>14</v>
      </c>
      <c r="CD4" s="25">
        <v>15</v>
      </c>
      <c r="CE4" s="25">
        <v>16</v>
      </c>
      <c r="CF4" s="25">
        <v>17</v>
      </c>
      <c r="CG4" s="25">
        <v>18</v>
      </c>
      <c r="CH4" s="25">
        <v>19</v>
      </c>
      <c r="CI4" s="25">
        <v>20</v>
      </c>
      <c r="CJ4" s="25">
        <v>21</v>
      </c>
      <c r="CK4" s="25">
        <v>22</v>
      </c>
      <c r="CL4" s="25">
        <v>23</v>
      </c>
      <c r="CM4" s="25">
        <v>24</v>
      </c>
      <c r="CN4" s="25">
        <v>25</v>
      </c>
      <c r="CO4" s="25">
        <v>26</v>
      </c>
      <c r="CP4" s="25">
        <v>27</v>
      </c>
      <c r="CQ4" s="25">
        <v>28</v>
      </c>
      <c r="CR4" s="25">
        <v>29</v>
      </c>
      <c r="CS4" s="25">
        <v>30</v>
      </c>
      <c r="CT4" s="25">
        <v>31</v>
      </c>
      <c r="CU4" s="25">
        <v>32</v>
      </c>
      <c r="CV4" s="25">
        <v>33</v>
      </c>
      <c r="CW4" s="25">
        <v>34</v>
      </c>
      <c r="CX4" s="25">
        <v>35</v>
      </c>
      <c r="CY4" s="25">
        <v>36</v>
      </c>
      <c r="CZ4" s="25">
        <v>37</v>
      </c>
      <c r="DA4" s="25">
        <v>38</v>
      </c>
      <c r="DB4" s="25">
        <v>39</v>
      </c>
      <c r="DC4" s="25">
        <v>40</v>
      </c>
      <c r="DD4" s="25">
        <v>41</v>
      </c>
      <c r="DE4" s="25">
        <v>42</v>
      </c>
      <c r="DF4" s="25">
        <v>43</v>
      </c>
      <c r="DG4" s="25">
        <v>44</v>
      </c>
      <c r="DH4" s="25">
        <v>45</v>
      </c>
      <c r="DI4" s="25">
        <v>46</v>
      </c>
      <c r="DJ4" s="25">
        <v>47</v>
      </c>
      <c r="DK4" s="25">
        <v>48</v>
      </c>
      <c r="DL4" s="25">
        <v>49</v>
      </c>
      <c r="DM4" s="25">
        <v>50</v>
      </c>
      <c r="DN4" s="25">
        <v>51</v>
      </c>
      <c r="DO4" s="25">
        <v>52</v>
      </c>
      <c r="DP4" s="25">
        <v>53</v>
      </c>
      <c r="DQ4" s="25">
        <v>54</v>
      </c>
      <c r="DR4" s="25">
        <v>55</v>
      </c>
      <c r="DS4" s="25">
        <v>56</v>
      </c>
      <c r="DT4" s="25">
        <v>57</v>
      </c>
      <c r="DU4" s="25">
        <v>58</v>
      </c>
      <c r="DV4" s="25">
        <v>59</v>
      </c>
      <c r="DW4" s="25">
        <v>60</v>
      </c>
    </row>
    <row r="5" spans="3:177" x14ac:dyDescent="0.5">
      <c r="C5" s="94">
        <v>18</v>
      </c>
      <c r="D5" s="94">
        <v>5</v>
      </c>
      <c r="E5" s="94">
        <v>11</v>
      </c>
      <c r="F5" s="94">
        <v>14</v>
      </c>
      <c r="G5" s="94">
        <v>15</v>
      </c>
      <c r="H5" s="94">
        <v>2</v>
      </c>
      <c r="I5" s="94">
        <v>28</v>
      </c>
      <c r="J5" s="94">
        <v>30</v>
      </c>
      <c r="K5" s="94">
        <v>6</v>
      </c>
      <c r="L5" s="94">
        <v>20</v>
      </c>
      <c r="M5" s="94">
        <v>10</v>
      </c>
      <c r="N5" s="94">
        <v>4</v>
      </c>
      <c r="O5" s="94">
        <v>25</v>
      </c>
      <c r="P5" s="94">
        <v>9</v>
      </c>
      <c r="Q5" s="94">
        <v>8</v>
      </c>
      <c r="R5" s="94">
        <v>23</v>
      </c>
      <c r="S5" s="94">
        <v>3</v>
      </c>
      <c r="T5" s="94">
        <v>13</v>
      </c>
      <c r="U5" s="94">
        <v>27</v>
      </c>
      <c r="V5" s="94">
        <v>24</v>
      </c>
      <c r="W5" s="94">
        <v>1</v>
      </c>
      <c r="X5" s="94">
        <v>19</v>
      </c>
      <c r="Y5" s="94">
        <v>22</v>
      </c>
      <c r="Z5" s="94">
        <v>21</v>
      </c>
      <c r="AA5" s="94">
        <v>16</v>
      </c>
      <c r="AB5" s="94">
        <v>17</v>
      </c>
      <c r="AC5" s="94">
        <v>7</v>
      </c>
      <c r="AD5" s="94">
        <v>26</v>
      </c>
      <c r="AE5" s="94">
        <v>29</v>
      </c>
      <c r="AF5" s="94">
        <v>12</v>
      </c>
      <c r="AK5" s="95" t="s">
        <v>73</v>
      </c>
      <c r="AL5" s="4">
        <f>AM4+1</f>
        <v>6</v>
      </c>
      <c r="AM5" s="4">
        <f>AL5+4</f>
        <v>10</v>
      </c>
      <c r="AR5" s="94">
        <v>18</v>
      </c>
      <c r="AS5">
        <f>AR5</f>
        <v>18</v>
      </c>
      <c r="BP5" s="94">
        <v>18</v>
      </c>
      <c r="BQ5" s="96">
        <v>5</v>
      </c>
      <c r="BR5" s="96">
        <v>11</v>
      </c>
      <c r="BS5" s="96">
        <v>14</v>
      </c>
      <c r="BT5" s="96">
        <v>15</v>
      </c>
      <c r="BU5" s="94">
        <v>2</v>
      </c>
      <c r="BV5" s="94">
        <v>28</v>
      </c>
      <c r="BW5" s="94">
        <v>30</v>
      </c>
      <c r="BX5" s="94">
        <v>6</v>
      </c>
      <c r="BY5" s="96">
        <v>20</v>
      </c>
      <c r="BZ5" s="94">
        <v>10</v>
      </c>
      <c r="CA5" s="94">
        <v>4</v>
      </c>
      <c r="CB5" s="94">
        <v>25</v>
      </c>
      <c r="CC5" s="94">
        <v>9</v>
      </c>
      <c r="CD5" s="94">
        <v>8</v>
      </c>
      <c r="CE5" s="96">
        <v>23</v>
      </c>
      <c r="CF5" s="94">
        <v>3</v>
      </c>
      <c r="CG5" s="94">
        <v>13</v>
      </c>
      <c r="CH5" s="94">
        <v>27</v>
      </c>
      <c r="CI5" s="96">
        <v>24</v>
      </c>
      <c r="CJ5" s="94">
        <v>1</v>
      </c>
      <c r="CK5" s="94">
        <v>19</v>
      </c>
      <c r="CL5" s="94">
        <v>22</v>
      </c>
      <c r="CM5" s="94">
        <v>21</v>
      </c>
      <c r="CN5" s="94">
        <v>16</v>
      </c>
      <c r="CO5" s="94">
        <v>17</v>
      </c>
      <c r="CP5" s="94">
        <v>7</v>
      </c>
      <c r="CQ5" s="96">
        <v>26</v>
      </c>
      <c r="CR5" s="96">
        <v>29</v>
      </c>
      <c r="CS5" s="94">
        <v>12</v>
      </c>
      <c r="CT5">
        <f>BP5+30</f>
        <v>48</v>
      </c>
      <c r="CU5">
        <f t="shared" ref="CU5:DW5" si="0">BQ5+30</f>
        <v>35</v>
      </c>
      <c r="CV5">
        <f t="shared" si="0"/>
        <v>41</v>
      </c>
      <c r="CW5">
        <f t="shared" si="0"/>
        <v>44</v>
      </c>
      <c r="CX5">
        <f t="shared" si="0"/>
        <v>45</v>
      </c>
      <c r="CY5">
        <f t="shared" si="0"/>
        <v>32</v>
      </c>
      <c r="CZ5">
        <f t="shared" si="0"/>
        <v>58</v>
      </c>
      <c r="DA5">
        <f t="shared" si="0"/>
        <v>60</v>
      </c>
      <c r="DB5">
        <f t="shared" si="0"/>
        <v>36</v>
      </c>
      <c r="DC5">
        <f t="shared" si="0"/>
        <v>50</v>
      </c>
      <c r="DD5">
        <f t="shared" si="0"/>
        <v>40</v>
      </c>
      <c r="DE5">
        <f t="shared" si="0"/>
        <v>34</v>
      </c>
      <c r="DF5">
        <f t="shared" si="0"/>
        <v>55</v>
      </c>
      <c r="DG5">
        <f t="shared" si="0"/>
        <v>39</v>
      </c>
      <c r="DH5">
        <f t="shared" si="0"/>
        <v>38</v>
      </c>
      <c r="DI5">
        <f t="shared" si="0"/>
        <v>53</v>
      </c>
      <c r="DJ5">
        <f t="shared" si="0"/>
        <v>33</v>
      </c>
      <c r="DK5">
        <f t="shared" si="0"/>
        <v>43</v>
      </c>
      <c r="DL5">
        <f t="shared" si="0"/>
        <v>57</v>
      </c>
      <c r="DM5">
        <f t="shared" si="0"/>
        <v>54</v>
      </c>
      <c r="DN5">
        <f t="shared" si="0"/>
        <v>31</v>
      </c>
      <c r="DO5">
        <f t="shared" si="0"/>
        <v>49</v>
      </c>
      <c r="DP5">
        <f t="shared" si="0"/>
        <v>52</v>
      </c>
      <c r="DQ5">
        <f t="shared" si="0"/>
        <v>51</v>
      </c>
      <c r="DR5">
        <f t="shared" si="0"/>
        <v>46</v>
      </c>
      <c r="DS5">
        <f t="shared" si="0"/>
        <v>47</v>
      </c>
      <c r="DT5">
        <f t="shared" si="0"/>
        <v>37</v>
      </c>
      <c r="DU5">
        <f t="shared" si="0"/>
        <v>56</v>
      </c>
      <c r="DV5">
        <f t="shared" si="0"/>
        <v>59</v>
      </c>
      <c r="DW5">
        <f t="shared" si="0"/>
        <v>42</v>
      </c>
      <c r="EC5" s="94">
        <v>18</v>
      </c>
      <c r="ED5">
        <f>EC5</f>
        <v>18</v>
      </c>
    </row>
    <row r="6" spans="3:177" x14ac:dyDescent="0.5"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K6" s="95" t="s">
        <v>74</v>
      </c>
      <c r="AL6" s="4">
        <f t="shared" ref="AL6:AL9" si="1">AM5+1</f>
        <v>11</v>
      </c>
      <c r="AM6" s="4">
        <f t="shared" ref="AM6:AM9" si="2">AL6+4</f>
        <v>15</v>
      </c>
      <c r="AR6" s="94">
        <v>5</v>
      </c>
      <c r="AS6" t="str">
        <f>AS5&amp;","&amp;AR6</f>
        <v>18,5</v>
      </c>
      <c r="EC6" s="94">
        <v>5</v>
      </c>
      <c r="ED6" t="str">
        <f>ED5&amp;","&amp;EC6</f>
        <v>18,5</v>
      </c>
    </row>
    <row r="7" spans="3:177" x14ac:dyDescent="0.5">
      <c r="AK7" s="95" t="s">
        <v>75</v>
      </c>
      <c r="AL7" s="4">
        <f t="shared" si="1"/>
        <v>16</v>
      </c>
      <c r="AM7" s="4">
        <f t="shared" si="2"/>
        <v>20</v>
      </c>
      <c r="AR7" s="94">
        <v>11</v>
      </c>
      <c r="AS7" t="str">
        <f t="shared" ref="AS7:AS34" si="3">AS6&amp;","&amp;AR7</f>
        <v>18,5,11</v>
      </c>
      <c r="EC7" s="94">
        <v>11</v>
      </c>
      <c r="ED7" t="str">
        <f t="shared" ref="ED7:ED64" si="4">ED6&amp;","&amp;EC7</f>
        <v>18,5,11</v>
      </c>
    </row>
    <row r="8" spans="3:177" x14ac:dyDescent="0.5">
      <c r="C8" s="94">
        <v>28</v>
      </c>
      <c r="D8" s="94">
        <v>30</v>
      </c>
      <c r="E8" s="94">
        <v>6</v>
      </c>
      <c r="F8" s="94">
        <v>20</v>
      </c>
      <c r="G8" s="94">
        <v>10</v>
      </c>
      <c r="H8" s="94">
        <v>4</v>
      </c>
      <c r="I8" s="94">
        <v>25</v>
      </c>
      <c r="J8" s="94">
        <v>9</v>
      </c>
      <c r="K8" s="94">
        <v>8</v>
      </c>
      <c r="L8" s="94">
        <v>23</v>
      </c>
      <c r="M8" s="94">
        <v>3</v>
      </c>
      <c r="N8" s="94">
        <v>13</v>
      </c>
      <c r="O8" s="94">
        <v>27</v>
      </c>
      <c r="P8" s="94">
        <v>24</v>
      </c>
      <c r="Q8" s="94">
        <v>1</v>
      </c>
      <c r="R8" s="94">
        <v>19</v>
      </c>
      <c r="S8" s="94">
        <v>22</v>
      </c>
      <c r="T8" s="94">
        <v>21</v>
      </c>
      <c r="U8" s="94">
        <v>16</v>
      </c>
      <c r="V8" s="94">
        <v>17</v>
      </c>
      <c r="W8" s="94">
        <v>7</v>
      </c>
      <c r="X8" s="94">
        <v>26</v>
      </c>
      <c r="Y8" s="94">
        <v>29</v>
      </c>
      <c r="Z8" s="94">
        <v>12</v>
      </c>
      <c r="AA8" s="94">
        <v>18</v>
      </c>
      <c r="AB8" s="94">
        <v>11</v>
      </c>
      <c r="AC8" s="94">
        <v>14</v>
      </c>
      <c r="AD8" s="94">
        <v>15</v>
      </c>
      <c r="AE8" s="94"/>
      <c r="AF8" s="94"/>
      <c r="AK8" s="95" t="s">
        <v>76</v>
      </c>
      <c r="AL8" s="4">
        <f t="shared" si="1"/>
        <v>21</v>
      </c>
      <c r="AM8" s="4">
        <f t="shared" si="2"/>
        <v>25</v>
      </c>
      <c r="AR8" s="94">
        <v>14</v>
      </c>
      <c r="AS8" t="str">
        <f t="shared" si="3"/>
        <v>18,5,11,14</v>
      </c>
      <c r="EC8" s="94">
        <v>14</v>
      </c>
      <c r="ED8" t="str">
        <f t="shared" si="4"/>
        <v>18,5,11,14</v>
      </c>
    </row>
    <row r="9" spans="3:177" x14ac:dyDescent="0.5">
      <c r="C9" s="94">
        <v>2</v>
      </c>
      <c r="D9" s="94">
        <v>5</v>
      </c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K9" s="95" t="s">
        <v>72</v>
      </c>
      <c r="AL9" s="4">
        <f t="shared" si="1"/>
        <v>26</v>
      </c>
      <c r="AM9" s="4">
        <f t="shared" si="2"/>
        <v>30</v>
      </c>
      <c r="AR9" s="94">
        <v>15</v>
      </c>
      <c r="AS9" t="str">
        <f t="shared" si="3"/>
        <v>18,5,11,14,15</v>
      </c>
      <c r="EC9" s="94">
        <v>15</v>
      </c>
      <c r="ED9" t="str">
        <f t="shared" si="4"/>
        <v>18,5,11,14,15</v>
      </c>
      <c r="FQ9">
        <v>44</v>
      </c>
    </row>
    <row r="10" spans="3:177" x14ac:dyDescent="0.5">
      <c r="AR10" s="94">
        <v>2</v>
      </c>
      <c r="AS10" t="str">
        <f t="shared" si="3"/>
        <v>18,5,11,14,15,2</v>
      </c>
      <c r="EC10" s="94">
        <v>2</v>
      </c>
      <c r="ED10" t="str">
        <f t="shared" si="4"/>
        <v>18,5,11,14,15,2</v>
      </c>
      <c r="FM10">
        <v>41</v>
      </c>
    </row>
    <row r="11" spans="3:177" x14ac:dyDescent="0.5">
      <c r="AR11" s="94">
        <v>28</v>
      </c>
      <c r="AS11" t="str">
        <f t="shared" si="3"/>
        <v>18,5,11,14,15,2,28</v>
      </c>
      <c r="EC11" s="94">
        <v>28</v>
      </c>
      <c r="ED11" t="str">
        <f t="shared" si="4"/>
        <v>18,5,11,14,15,2,28</v>
      </c>
    </row>
    <row r="12" spans="3:177" x14ac:dyDescent="0.5">
      <c r="AR12" s="94">
        <v>30</v>
      </c>
      <c r="AS12" t="str">
        <f t="shared" si="3"/>
        <v>18,5,11,14,15,2,28,30</v>
      </c>
      <c r="EC12" s="94">
        <v>30</v>
      </c>
      <c r="ED12" t="str">
        <f t="shared" si="4"/>
        <v>18,5,11,14,15,2,28,30</v>
      </c>
      <c r="FN12">
        <v>11</v>
      </c>
      <c r="FQ12">
        <v>14</v>
      </c>
      <c r="FU12">
        <v>45</v>
      </c>
    </row>
    <row r="13" spans="3:177" x14ac:dyDescent="0.5">
      <c r="AR13" s="94">
        <v>6</v>
      </c>
      <c r="AS13" t="str">
        <f t="shared" si="3"/>
        <v>18,5,11,14,15,2,28,30,6</v>
      </c>
      <c r="EC13" s="94">
        <v>6</v>
      </c>
      <c r="ED13" t="str">
        <f t="shared" si="4"/>
        <v>18,5,11,14,15,2,28,30,6</v>
      </c>
      <c r="FK13">
        <v>35</v>
      </c>
    </row>
    <row r="14" spans="3:177" x14ac:dyDescent="0.5">
      <c r="AR14" s="94">
        <v>20</v>
      </c>
      <c r="AS14" t="str">
        <f t="shared" si="3"/>
        <v>18,5,11,14,15,2,28,30,6,20</v>
      </c>
      <c r="EC14" s="94">
        <v>20</v>
      </c>
      <c r="ED14" t="str">
        <f t="shared" si="4"/>
        <v>18,5,11,14,15,2,28,30,6,20</v>
      </c>
      <c r="FM14">
        <v>5</v>
      </c>
      <c r="FS14">
        <v>15</v>
      </c>
    </row>
    <row r="15" spans="3:177" x14ac:dyDescent="0.5">
      <c r="AR15" s="94">
        <v>10</v>
      </c>
      <c r="AS15" t="str">
        <f t="shared" si="3"/>
        <v>18,5,11,14,15,2,28,30,6,20,10</v>
      </c>
      <c r="EC15" s="94">
        <v>10</v>
      </c>
      <c r="ED15" t="str">
        <f t="shared" si="4"/>
        <v>18,5,11,14,15,2,28,30,6,20,10</v>
      </c>
    </row>
    <row r="16" spans="3:177" x14ac:dyDescent="0.5">
      <c r="AR16" s="94">
        <v>4</v>
      </c>
      <c r="AS16" t="str">
        <f t="shared" si="3"/>
        <v>18,5,11,14,15,2,28,30,6,20,10,4</v>
      </c>
      <c r="EC16" s="94">
        <v>4</v>
      </c>
      <c r="ED16" t="str">
        <f t="shared" si="4"/>
        <v>18,5,11,14,15,2,28,30,6,20,10,4</v>
      </c>
    </row>
    <row r="17" spans="44:177" x14ac:dyDescent="0.5">
      <c r="AR17" s="94">
        <v>25</v>
      </c>
      <c r="AS17" t="str">
        <f t="shared" si="3"/>
        <v>18,5,11,14,15,2,28,30,6,20,10,4,25</v>
      </c>
      <c r="EC17" s="94">
        <v>25</v>
      </c>
      <c r="ED17" t="str">
        <f t="shared" si="4"/>
        <v>18,5,11,14,15,2,28,30,6,20,10,4,25</v>
      </c>
      <c r="FI17">
        <v>59</v>
      </c>
      <c r="FM17">
        <v>29</v>
      </c>
      <c r="FS17">
        <v>20</v>
      </c>
    </row>
    <row r="18" spans="44:177" x14ac:dyDescent="0.5">
      <c r="AR18" s="94">
        <v>9</v>
      </c>
      <c r="AS18" t="str">
        <f t="shared" si="3"/>
        <v>18,5,11,14,15,2,28,30,6,20,10,4,25,9</v>
      </c>
      <c r="EC18" s="94">
        <v>9</v>
      </c>
      <c r="ED18" t="str">
        <f t="shared" si="4"/>
        <v>18,5,11,14,15,2,28,30,6,20,10,4,25,9</v>
      </c>
    </row>
    <row r="19" spans="44:177" x14ac:dyDescent="0.5">
      <c r="AR19" s="94">
        <v>8</v>
      </c>
      <c r="AS19" t="str">
        <f t="shared" si="3"/>
        <v>18,5,11,14,15,2,28,30,6,20,10,4,25,9,8</v>
      </c>
      <c r="EC19" s="94">
        <v>8</v>
      </c>
      <c r="ED19" t="str">
        <f t="shared" si="4"/>
        <v>18,5,11,14,15,2,28,30,6,20,10,4,25,9,8</v>
      </c>
      <c r="FM19">
        <v>26</v>
      </c>
      <c r="FQ19">
        <v>23</v>
      </c>
      <c r="FU19">
        <v>50</v>
      </c>
    </row>
    <row r="20" spans="44:177" x14ac:dyDescent="0.5">
      <c r="AR20" s="94">
        <v>23</v>
      </c>
      <c r="AS20" t="str">
        <f t="shared" si="3"/>
        <v>18,5,11,14,15,2,28,30,6,20,10,4,25,9,8,23</v>
      </c>
      <c r="EC20" s="94">
        <v>23</v>
      </c>
      <c r="ED20" t="str">
        <f t="shared" si="4"/>
        <v>18,5,11,14,15,2,28,30,6,20,10,4,25,9,8,23</v>
      </c>
      <c r="FO20">
        <v>24</v>
      </c>
    </row>
    <row r="21" spans="44:177" x14ac:dyDescent="0.5">
      <c r="AR21" s="94">
        <v>3</v>
      </c>
      <c r="AS21" t="str">
        <f t="shared" si="3"/>
        <v>18,5,11,14,15,2,28,30,6,20,10,4,25,9,8,23,3</v>
      </c>
      <c r="EC21" s="94">
        <v>3</v>
      </c>
      <c r="ED21" t="str">
        <f t="shared" si="4"/>
        <v>18,5,11,14,15,2,28,30,6,20,10,4,25,9,8,23,3</v>
      </c>
      <c r="FK21">
        <v>56</v>
      </c>
    </row>
    <row r="22" spans="44:177" x14ac:dyDescent="0.5">
      <c r="AR22" s="94">
        <v>13</v>
      </c>
      <c r="AS22" t="str">
        <f t="shared" si="3"/>
        <v>18,5,11,14,15,2,28,30,6,20,10,4,25,9,8,23,3,13</v>
      </c>
      <c r="EC22" s="94">
        <v>13</v>
      </c>
      <c r="ED22" t="str">
        <f t="shared" si="4"/>
        <v>18,5,11,14,15,2,28,30,6,20,10,4,25,9,8,23,3,13</v>
      </c>
      <c r="FS22">
        <v>53</v>
      </c>
    </row>
    <row r="23" spans="44:177" x14ac:dyDescent="0.5">
      <c r="AR23" s="94">
        <v>27</v>
      </c>
      <c r="AS23" t="str">
        <f t="shared" si="3"/>
        <v>18,5,11,14,15,2,28,30,6,20,10,4,25,9,8,23,3,13,27</v>
      </c>
      <c r="EC23" s="94">
        <v>27</v>
      </c>
      <c r="ED23" t="str">
        <f t="shared" si="4"/>
        <v>18,5,11,14,15,2,28,30,6,20,10,4,25,9,8,23,3,13,27</v>
      </c>
    </row>
    <row r="24" spans="44:177" x14ac:dyDescent="0.5">
      <c r="AR24" s="94">
        <v>24</v>
      </c>
      <c r="AS24" t="str">
        <f t="shared" si="3"/>
        <v>18,5,11,14,15,2,28,30,6,20,10,4,25,9,8,23,3,13,27,24</v>
      </c>
      <c r="EC24" s="94">
        <v>24</v>
      </c>
      <c r="ED24" t="str">
        <f t="shared" si="4"/>
        <v>18,5,11,14,15,2,28,30,6,20,10,4,25,9,8,23,3,13,27,24</v>
      </c>
      <c r="FO24">
        <v>54</v>
      </c>
    </row>
    <row r="25" spans="44:177" x14ac:dyDescent="0.5">
      <c r="AR25" s="94">
        <v>1</v>
      </c>
      <c r="AS25" t="str">
        <f t="shared" si="3"/>
        <v>18,5,11,14,15,2,28,30,6,20,10,4,25,9,8,23,3,13,27,24,1</v>
      </c>
      <c r="EC25" s="94">
        <v>1</v>
      </c>
      <c r="ED25" t="str">
        <f t="shared" si="4"/>
        <v>18,5,11,14,15,2,28,30,6,20,10,4,25,9,8,23,3,13,27,24,1</v>
      </c>
    </row>
    <row r="26" spans="44:177" x14ac:dyDescent="0.5">
      <c r="AR26" s="94">
        <v>19</v>
      </c>
      <c r="AS26" t="str">
        <f t="shared" si="3"/>
        <v>18,5,11,14,15,2,28,30,6,20,10,4,25,9,8,23,3,13,27,24,1,19</v>
      </c>
      <c r="EC26" s="94">
        <v>19</v>
      </c>
      <c r="ED26" t="str">
        <f t="shared" si="4"/>
        <v>18,5,11,14,15,2,28,30,6,20,10,4,25,9,8,23,3,13,27,24,1,19</v>
      </c>
    </row>
    <row r="27" spans="44:177" x14ac:dyDescent="0.5">
      <c r="AR27" s="94">
        <v>22</v>
      </c>
      <c r="AS27" t="str">
        <f t="shared" si="3"/>
        <v>18,5,11,14,15,2,28,30,6,20,10,4,25,9,8,23,3,13,27,24,1,19,22</v>
      </c>
      <c r="EC27" s="94">
        <v>22</v>
      </c>
      <c r="ED27" t="str">
        <f t="shared" si="4"/>
        <v>18,5,11,14,15,2,28,30,6,20,10,4,25,9,8,23,3,13,27,24,1,19,22</v>
      </c>
    </row>
    <row r="28" spans="44:177" x14ac:dyDescent="0.5">
      <c r="AR28" s="94">
        <v>21</v>
      </c>
      <c r="AS28" t="str">
        <f t="shared" si="3"/>
        <v>18,5,11,14,15,2,28,30,6,20,10,4,25,9,8,23,3,13,27,24,1,19,22,21</v>
      </c>
      <c r="EC28" s="94">
        <v>21</v>
      </c>
      <c r="ED28" t="str">
        <f t="shared" si="4"/>
        <v>18,5,11,14,15,2,28,30,6,20,10,4,25,9,8,23,3,13,27,24,1,19,22,21</v>
      </c>
    </row>
    <row r="29" spans="44:177" x14ac:dyDescent="0.5">
      <c r="AR29" s="94">
        <v>16</v>
      </c>
      <c r="AS29" t="str">
        <f t="shared" si="3"/>
        <v>18,5,11,14,15,2,28,30,6,20,10,4,25,9,8,23,3,13,27,24,1,19,22,21,16</v>
      </c>
      <c r="EC29" s="94">
        <v>16</v>
      </c>
      <c r="ED29" t="str">
        <f t="shared" si="4"/>
        <v>18,5,11,14,15,2,28,30,6,20,10,4,25,9,8,23,3,13,27,24,1,19,22,21,16</v>
      </c>
    </row>
    <row r="30" spans="44:177" x14ac:dyDescent="0.5">
      <c r="AR30" s="94">
        <v>17</v>
      </c>
      <c r="AS30" t="str">
        <f t="shared" si="3"/>
        <v>18,5,11,14,15,2,28,30,6,20,10,4,25,9,8,23,3,13,27,24,1,19,22,21,16,17</v>
      </c>
      <c r="EC30" s="94">
        <v>17</v>
      </c>
      <c r="ED30" t="str">
        <f t="shared" si="4"/>
        <v>18,5,11,14,15,2,28,30,6,20,10,4,25,9,8,23,3,13,27,24,1,19,22,21,16,17</v>
      </c>
    </row>
    <row r="31" spans="44:177" x14ac:dyDescent="0.5">
      <c r="AR31" s="94">
        <v>7</v>
      </c>
      <c r="AS31" t="str">
        <f t="shared" si="3"/>
        <v>18,5,11,14,15,2,28,30,6,20,10,4,25,9,8,23,3,13,27,24,1,19,22,21,16,17,7</v>
      </c>
      <c r="EC31" s="94">
        <v>7</v>
      </c>
      <c r="ED31" t="str">
        <f t="shared" si="4"/>
        <v>18,5,11,14,15,2,28,30,6,20,10,4,25,9,8,23,3,13,27,24,1,19,22,21,16,17,7</v>
      </c>
    </row>
    <row r="32" spans="44:177" x14ac:dyDescent="0.5">
      <c r="AR32" s="94">
        <v>26</v>
      </c>
      <c r="AS32" t="str">
        <f t="shared" si="3"/>
        <v>18,5,11,14,15,2,28,30,6,20,10,4,25,9,8,23,3,13,27,24,1,19,22,21,16,17,7,26</v>
      </c>
      <c r="EC32" s="94">
        <v>26</v>
      </c>
      <c r="ED32" t="str">
        <f t="shared" si="4"/>
        <v>18,5,11,14,15,2,28,30,6,20,10,4,25,9,8,23,3,13,27,24,1,19,22,21,16,17,7,26</v>
      </c>
    </row>
    <row r="33" spans="44:134" x14ac:dyDescent="0.5">
      <c r="AR33" s="94">
        <v>29</v>
      </c>
      <c r="AS33" t="str">
        <f t="shared" si="3"/>
        <v>18,5,11,14,15,2,28,30,6,20,10,4,25,9,8,23,3,13,27,24,1,19,22,21,16,17,7,26,29</v>
      </c>
      <c r="EC33" s="94">
        <v>29</v>
      </c>
      <c r="ED33" t="str">
        <f t="shared" si="4"/>
        <v>18,5,11,14,15,2,28,30,6,20,10,4,25,9,8,23,3,13,27,24,1,19,22,21,16,17,7,26,29</v>
      </c>
    </row>
    <row r="34" spans="44:134" x14ac:dyDescent="0.5">
      <c r="AR34" s="94">
        <v>12</v>
      </c>
      <c r="AS34" t="str">
        <f t="shared" si="3"/>
        <v>18,5,11,14,15,2,28,30,6,20,10,4,25,9,8,23,3,13,27,24,1,19,22,21,16,17,7,26,29,12</v>
      </c>
      <c r="EC34" s="94">
        <v>12</v>
      </c>
      <c r="ED34" t="str">
        <f t="shared" si="4"/>
        <v>18,5,11,14,15,2,28,30,6,20,10,4,25,9,8,23,3,13,27,24,1,19,22,21,16,17,7,26,29,12</v>
      </c>
    </row>
    <row r="35" spans="44:134" x14ac:dyDescent="0.5">
      <c r="EC35">
        <f t="shared" ref="EC35:EC64" si="5">EC5+30</f>
        <v>48</v>
      </c>
      <c r="ED35" t="str">
        <f t="shared" si="4"/>
        <v>18,5,11,14,15,2,28,30,6,20,10,4,25,9,8,23,3,13,27,24,1,19,22,21,16,17,7,26,29,12,48</v>
      </c>
    </row>
    <row r="36" spans="44:134" x14ac:dyDescent="0.5">
      <c r="AS36" t="s">
        <v>77</v>
      </c>
      <c r="EC36">
        <f t="shared" si="5"/>
        <v>35</v>
      </c>
      <c r="ED36" t="str">
        <f t="shared" si="4"/>
        <v>18,5,11,14,15,2,28,30,6,20,10,4,25,9,8,23,3,13,27,24,1,19,22,21,16,17,7,26,29,12,48,35</v>
      </c>
    </row>
    <row r="37" spans="44:134" x14ac:dyDescent="0.5">
      <c r="EC37">
        <f t="shared" si="5"/>
        <v>41</v>
      </c>
      <c r="ED37" t="str">
        <f t="shared" si="4"/>
        <v>18,5,11,14,15,2,28,30,6,20,10,4,25,9,8,23,3,13,27,24,1,19,22,21,16,17,7,26,29,12,48,35,41</v>
      </c>
    </row>
    <row r="38" spans="44:134" x14ac:dyDescent="0.5">
      <c r="EC38">
        <f t="shared" si="5"/>
        <v>44</v>
      </c>
      <c r="ED38" t="str">
        <f t="shared" si="4"/>
        <v>18,5,11,14,15,2,28,30,6,20,10,4,25,9,8,23,3,13,27,24,1,19,22,21,16,17,7,26,29,12,48,35,41,44</v>
      </c>
    </row>
    <row r="39" spans="44:134" x14ac:dyDescent="0.5">
      <c r="EC39">
        <f t="shared" si="5"/>
        <v>45</v>
      </c>
      <c r="ED39" t="str">
        <f t="shared" si="4"/>
        <v>18,5,11,14,15,2,28,30,6,20,10,4,25,9,8,23,3,13,27,24,1,19,22,21,16,17,7,26,29,12,48,35,41,44,45</v>
      </c>
    </row>
    <row r="40" spans="44:134" x14ac:dyDescent="0.5">
      <c r="EC40">
        <f t="shared" si="5"/>
        <v>32</v>
      </c>
      <c r="ED40" t="str">
        <f t="shared" si="4"/>
        <v>18,5,11,14,15,2,28,30,6,20,10,4,25,9,8,23,3,13,27,24,1,19,22,21,16,17,7,26,29,12,48,35,41,44,45,32</v>
      </c>
    </row>
    <row r="41" spans="44:134" x14ac:dyDescent="0.5">
      <c r="EC41">
        <f t="shared" si="5"/>
        <v>58</v>
      </c>
      <c r="ED41" t="str">
        <f t="shared" si="4"/>
        <v>18,5,11,14,15,2,28,30,6,20,10,4,25,9,8,23,3,13,27,24,1,19,22,21,16,17,7,26,29,12,48,35,41,44,45,32,58</v>
      </c>
    </row>
    <row r="42" spans="44:134" x14ac:dyDescent="0.5">
      <c r="EC42">
        <f t="shared" si="5"/>
        <v>60</v>
      </c>
      <c r="ED42" t="str">
        <f t="shared" si="4"/>
        <v>18,5,11,14,15,2,28,30,6,20,10,4,25,9,8,23,3,13,27,24,1,19,22,21,16,17,7,26,29,12,48,35,41,44,45,32,58,60</v>
      </c>
    </row>
    <row r="43" spans="44:134" x14ac:dyDescent="0.5">
      <c r="EC43">
        <f t="shared" si="5"/>
        <v>36</v>
      </c>
      <c r="ED43" t="str">
        <f t="shared" si="4"/>
        <v>18,5,11,14,15,2,28,30,6,20,10,4,25,9,8,23,3,13,27,24,1,19,22,21,16,17,7,26,29,12,48,35,41,44,45,32,58,60,36</v>
      </c>
    </row>
    <row r="44" spans="44:134" x14ac:dyDescent="0.5">
      <c r="EC44">
        <f t="shared" si="5"/>
        <v>50</v>
      </c>
      <c r="ED44" t="str">
        <f t="shared" si="4"/>
        <v>18,5,11,14,15,2,28,30,6,20,10,4,25,9,8,23,3,13,27,24,1,19,22,21,16,17,7,26,29,12,48,35,41,44,45,32,58,60,36,50</v>
      </c>
    </row>
    <row r="45" spans="44:134" x14ac:dyDescent="0.5">
      <c r="EC45">
        <f t="shared" si="5"/>
        <v>40</v>
      </c>
      <c r="ED45" t="str">
        <f t="shared" si="4"/>
        <v>18,5,11,14,15,2,28,30,6,20,10,4,25,9,8,23,3,13,27,24,1,19,22,21,16,17,7,26,29,12,48,35,41,44,45,32,58,60,36,50,40</v>
      </c>
    </row>
    <row r="46" spans="44:134" x14ac:dyDescent="0.5">
      <c r="EC46">
        <f t="shared" si="5"/>
        <v>34</v>
      </c>
      <c r="ED46" t="str">
        <f t="shared" si="4"/>
        <v>18,5,11,14,15,2,28,30,6,20,10,4,25,9,8,23,3,13,27,24,1,19,22,21,16,17,7,26,29,12,48,35,41,44,45,32,58,60,36,50,40,34</v>
      </c>
    </row>
    <row r="47" spans="44:134" x14ac:dyDescent="0.5">
      <c r="EC47">
        <f t="shared" si="5"/>
        <v>55</v>
      </c>
      <c r="ED47" t="str">
        <f t="shared" si="4"/>
        <v>18,5,11,14,15,2,28,30,6,20,10,4,25,9,8,23,3,13,27,24,1,19,22,21,16,17,7,26,29,12,48,35,41,44,45,32,58,60,36,50,40,34,55</v>
      </c>
    </row>
    <row r="48" spans="44:134" x14ac:dyDescent="0.5">
      <c r="EC48">
        <f t="shared" si="5"/>
        <v>39</v>
      </c>
      <c r="ED48" t="str">
        <f t="shared" si="4"/>
        <v>18,5,11,14,15,2,28,30,6,20,10,4,25,9,8,23,3,13,27,24,1,19,22,21,16,17,7,26,29,12,48,35,41,44,45,32,58,60,36,50,40,34,55,39</v>
      </c>
    </row>
    <row r="49" spans="133:134" x14ac:dyDescent="0.5">
      <c r="EC49">
        <f t="shared" si="5"/>
        <v>38</v>
      </c>
      <c r="ED49" t="str">
        <f t="shared" si="4"/>
        <v>18,5,11,14,15,2,28,30,6,20,10,4,25,9,8,23,3,13,27,24,1,19,22,21,16,17,7,26,29,12,48,35,41,44,45,32,58,60,36,50,40,34,55,39,38</v>
      </c>
    </row>
    <row r="50" spans="133:134" x14ac:dyDescent="0.5">
      <c r="EC50">
        <f t="shared" si="5"/>
        <v>53</v>
      </c>
      <c r="ED50" t="str">
        <f t="shared" si="4"/>
        <v>18,5,11,14,15,2,28,30,6,20,10,4,25,9,8,23,3,13,27,24,1,19,22,21,16,17,7,26,29,12,48,35,41,44,45,32,58,60,36,50,40,34,55,39,38,53</v>
      </c>
    </row>
    <row r="51" spans="133:134" x14ac:dyDescent="0.5">
      <c r="EC51">
        <f t="shared" si="5"/>
        <v>33</v>
      </c>
      <c r="ED51" t="str">
        <f t="shared" si="4"/>
        <v>18,5,11,14,15,2,28,30,6,20,10,4,25,9,8,23,3,13,27,24,1,19,22,21,16,17,7,26,29,12,48,35,41,44,45,32,58,60,36,50,40,34,55,39,38,53,33</v>
      </c>
    </row>
    <row r="52" spans="133:134" x14ac:dyDescent="0.5">
      <c r="EC52">
        <f t="shared" si="5"/>
        <v>43</v>
      </c>
      <c r="ED52" t="str">
        <f t="shared" si="4"/>
        <v>18,5,11,14,15,2,28,30,6,20,10,4,25,9,8,23,3,13,27,24,1,19,22,21,16,17,7,26,29,12,48,35,41,44,45,32,58,60,36,50,40,34,55,39,38,53,33,43</v>
      </c>
    </row>
    <row r="53" spans="133:134" x14ac:dyDescent="0.5">
      <c r="EC53">
        <f t="shared" si="5"/>
        <v>57</v>
      </c>
      <c r="ED53" t="str">
        <f t="shared" si="4"/>
        <v>18,5,11,14,15,2,28,30,6,20,10,4,25,9,8,23,3,13,27,24,1,19,22,21,16,17,7,26,29,12,48,35,41,44,45,32,58,60,36,50,40,34,55,39,38,53,33,43,57</v>
      </c>
    </row>
    <row r="54" spans="133:134" x14ac:dyDescent="0.5">
      <c r="EC54">
        <f t="shared" si="5"/>
        <v>54</v>
      </c>
      <c r="ED54" t="str">
        <f t="shared" si="4"/>
        <v>18,5,11,14,15,2,28,30,6,20,10,4,25,9,8,23,3,13,27,24,1,19,22,21,16,17,7,26,29,12,48,35,41,44,45,32,58,60,36,50,40,34,55,39,38,53,33,43,57,54</v>
      </c>
    </row>
    <row r="55" spans="133:134" x14ac:dyDescent="0.5">
      <c r="EC55">
        <f t="shared" si="5"/>
        <v>31</v>
      </c>
      <c r="ED55" t="str">
        <f t="shared" si="4"/>
        <v>18,5,11,14,15,2,28,30,6,20,10,4,25,9,8,23,3,13,27,24,1,19,22,21,16,17,7,26,29,12,48,35,41,44,45,32,58,60,36,50,40,34,55,39,38,53,33,43,57,54,31</v>
      </c>
    </row>
    <row r="56" spans="133:134" x14ac:dyDescent="0.5">
      <c r="EC56">
        <f t="shared" si="5"/>
        <v>49</v>
      </c>
      <c r="ED56" t="str">
        <f t="shared" si="4"/>
        <v>18,5,11,14,15,2,28,30,6,20,10,4,25,9,8,23,3,13,27,24,1,19,22,21,16,17,7,26,29,12,48,35,41,44,45,32,58,60,36,50,40,34,55,39,38,53,33,43,57,54,31,49</v>
      </c>
    </row>
    <row r="57" spans="133:134" x14ac:dyDescent="0.5">
      <c r="EC57">
        <f t="shared" si="5"/>
        <v>52</v>
      </c>
      <c r="ED57" t="str">
        <f t="shared" si="4"/>
        <v>18,5,11,14,15,2,28,30,6,20,10,4,25,9,8,23,3,13,27,24,1,19,22,21,16,17,7,26,29,12,48,35,41,44,45,32,58,60,36,50,40,34,55,39,38,53,33,43,57,54,31,49,52</v>
      </c>
    </row>
    <row r="58" spans="133:134" x14ac:dyDescent="0.5">
      <c r="EC58">
        <f t="shared" si="5"/>
        <v>51</v>
      </c>
      <c r="ED58" t="str">
        <f t="shared" si="4"/>
        <v>18,5,11,14,15,2,28,30,6,20,10,4,25,9,8,23,3,13,27,24,1,19,22,21,16,17,7,26,29,12,48,35,41,44,45,32,58,60,36,50,40,34,55,39,38,53,33,43,57,54,31,49,52,51</v>
      </c>
    </row>
    <row r="59" spans="133:134" x14ac:dyDescent="0.5">
      <c r="EC59">
        <f t="shared" si="5"/>
        <v>46</v>
      </c>
      <c r="ED59" t="str">
        <f t="shared" si="4"/>
        <v>18,5,11,14,15,2,28,30,6,20,10,4,25,9,8,23,3,13,27,24,1,19,22,21,16,17,7,26,29,12,48,35,41,44,45,32,58,60,36,50,40,34,55,39,38,53,33,43,57,54,31,49,52,51,46</v>
      </c>
    </row>
    <row r="60" spans="133:134" x14ac:dyDescent="0.5">
      <c r="EC60">
        <f t="shared" si="5"/>
        <v>47</v>
      </c>
      <c r="ED60" t="str">
        <f t="shared" si="4"/>
        <v>18,5,11,14,15,2,28,30,6,20,10,4,25,9,8,23,3,13,27,24,1,19,22,21,16,17,7,26,29,12,48,35,41,44,45,32,58,60,36,50,40,34,55,39,38,53,33,43,57,54,31,49,52,51,46,47</v>
      </c>
    </row>
    <row r="61" spans="133:134" x14ac:dyDescent="0.5">
      <c r="EC61">
        <f t="shared" si="5"/>
        <v>37</v>
      </c>
      <c r="ED61" t="str">
        <f t="shared" si="4"/>
        <v>18,5,11,14,15,2,28,30,6,20,10,4,25,9,8,23,3,13,27,24,1,19,22,21,16,17,7,26,29,12,48,35,41,44,45,32,58,60,36,50,40,34,55,39,38,53,33,43,57,54,31,49,52,51,46,47,37</v>
      </c>
    </row>
    <row r="62" spans="133:134" x14ac:dyDescent="0.5">
      <c r="EC62">
        <f t="shared" si="5"/>
        <v>56</v>
      </c>
      <c r="ED62" t="str">
        <f t="shared" si="4"/>
        <v>18,5,11,14,15,2,28,30,6,20,10,4,25,9,8,23,3,13,27,24,1,19,22,21,16,17,7,26,29,12,48,35,41,44,45,32,58,60,36,50,40,34,55,39,38,53,33,43,57,54,31,49,52,51,46,47,37,56</v>
      </c>
    </row>
    <row r="63" spans="133:134" x14ac:dyDescent="0.5">
      <c r="EC63">
        <f t="shared" si="5"/>
        <v>59</v>
      </c>
      <c r="ED63" t="str">
        <f t="shared" si="4"/>
        <v>18,5,11,14,15,2,28,30,6,20,10,4,25,9,8,23,3,13,27,24,1,19,22,21,16,17,7,26,29,12,48,35,41,44,45,32,58,60,36,50,40,34,55,39,38,53,33,43,57,54,31,49,52,51,46,47,37,56,59</v>
      </c>
    </row>
    <row r="64" spans="133:134" x14ac:dyDescent="0.5">
      <c r="EC64">
        <f t="shared" si="5"/>
        <v>42</v>
      </c>
      <c r="ED64" t="str">
        <f t="shared" si="4"/>
        <v>18,5,11,14,15,2,28,30,6,20,10,4,25,9,8,23,3,13,27,24,1,19,22,21,16,17,7,26,29,12,48,35,41,44,45,32,58,60,36,50,40,34,55,39,38,53,33,43,57,54,31,49,52,51,46,47,37,56,59,42</v>
      </c>
    </row>
    <row r="66" spans="134:134" x14ac:dyDescent="0.5">
      <c r="ED66" t="s">
        <v>78</v>
      </c>
    </row>
  </sheetData>
  <phoneticPr fontId="14" type="noConversion"/>
  <conditionalFormatting sqref="C5:AF6 C8:AF9">
    <cfRule type="expression" dxfId="106" priority="5">
      <formula>C5=0</formula>
    </cfRule>
  </conditionalFormatting>
  <conditionalFormatting sqref="AR5:AR34">
    <cfRule type="expression" dxfId="105" priority="3">
      <formula>AR5=0</formula>
    </cfRule>
  </conditionalFormatting>
  <conditionalFormatting sqref="BP5:CS5">
    <cfRule type="expression" dxfId="104" priority="2">
      <formula>BP5=0</formula>
    </cfRule>
  </conditionalFormatting>
  <conditionalFormatting sqref="EC5:EC34">
    <cfRule type="expression" dxfId="103" priority="1">
      <formula>EC5=0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DAD9-6333-4514-8AD3-AE50B4A46C22}">
  <sheetPr codeName="Sheet3"/>
  <dimension ref="D2:AV206"/>
  <sheetViews>
    <sheetView showGridLines="0" zoomScale="150" zoomScaleNormal="150" workbookViewId="0">
      <selection activeCell="Z18" sqref="Z18"/>
    </sheetView>
  </sheetViews>
  <sheetFormatPr baseColWidth="10" defaultColWidth="3.875" defaultRowHeight="15.75" x14ac:dyDescent="0.5"/>
  <cols>
    <col min="5" max="5" width="3.875" customWidth="1"/>
    <col min="12" max="12" width="3.875" style="3" customWidth="1"/>
  </cols>
  <sheetData>
    <row r="2" spans="4:48" x14ac:dyDescent="0.5">
      <c r="AA2" s="1" t="s">
        <v>0</v>
      </c>
    </row>
    <row r="3" spans="4:48" x14ac:dyDescent="0.5">
      <c r="L3"/>
      <c r="AA3" s="1" t="s">
        <v>1</v>
      </c>
    </row>
    <row r="4" spans="4:48" x14ac:dyDescent="0.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4:48" x14ac:dyDescent="0.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4:48" ht="16.149999999999999" thickBot="1" x14ac:dyDescent="0.55000000000000004">
      <c r="L6"/>
      <c r="AA6" s="1" t="s">
        <v>4</v>
      </c>
    </row>
    <row r="7" spans="4:48" ht="16.05" customHeight="1" x14ac:dyDescent="0.5">
      <c r="D7" s="100">
        <f>IF(SUM(F7:K8)&gt;0,0,"")</f>
        <v>0</v>
      </c>
      <c r="E7" s="100" t="s">
        <v>11</v>
      </c>
      <c r="F7" s="4">
        <v>14</v>
      </c>
      <c r="G7" s="4">
        <v>3</v>
      </c>
      <c r="H7" s="4">
        <v>15</v>
      </c>
      <c r="I7" s="4">
        <v>12</v>
      </c>
      <c r="J7" s="4">
        <v>16</v>
      </c>
      <c r="K7" s="4">
        <v>13</v>
      </c>
      <c r="L7" s="4">
        <v>2</v>
      </c>
      <c r="M7" s="4">
        <v>5</v>
      </c>
      <c r="N7" s="4">
        <v>11</v>
      </c>
      <c r="O7" s="4">
        <v>18</v>
      </c>
      <c r="P7" s="4">
        <v>17</v>
      </c>
      <c r="Q7" s="4">
        <v>4</v>
      </c>
      <c r="R7" s="4">
        <v>8</v>
      </c>
      <c r="S7" s="4">
        <v>1</v>
      </c>
      <c r="T7" s="4">
        <v>6</v>
      </c>
      <c r="U7" s="4">
        <v>20</v>
      </c>
      <c r="V7" s="4">
        <v>10</v>
      </c>
      <c r="W7" s="4">
        <v>7</v>
      </c>
      <c r="X7" s="4">
        <v>19</v>
      </c>
      <c r="Y7" s="4">
        <v>9</v>
      </c>
      <c r="AA7" s="1" t="s">
        <v>5</v>
      </c>
    </row>
    <row r="8" spans="4:48" ht="16.149999999999999" thickBot="1" x14ac:dyDescent="0.55000000000000004">
      <c r="D8" s="101"/>
      <c r="E8" s="101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4:48" ht="16.05" customHeight="1" x14ac:dyDescent="0.5">
      <c r="D9" s="100">
        <f>IF(SUM(F9:K10)&gt;0,D7+1,"")</f>
        <v>1</v>
      </c>
      <c r="E9" s="98" t="s">
        <v>12</v>
      </c>
      <c r="F9" s="4">
        <v>3</v>
      </c>
      <c r="G9" s="4">
        <v>15</v>
      </c>
      <c r="H9" s="4">
        <v>12</v>
      </c>
      <c r="I9" s="4">
        <v>16</v>
      </c>
      <c r="J9" s="4">
        <v>13</v>
      </c>
      <c r="K9" s="4">
        <v>2</v>
      </c>
      <c r="L9" s="4">
        <v>5</v>
      </c>
      <c r="M9" s="4">
        <v>11</v>
      </c>
      <c r="N9" s="4">
        <v>18</v>
      </c>
      <c r="O9" s="4">
        <v>17</v>
      </c>
      <c r="P9" s="4">
        <v>4</v>
      </c>
      <c r="Q9" s="4">
        <v>8</v>
      </c>
      <c r="R9" s="4">
        <v>1</v>
      </c>
      <c r="S9" s="4">
        <v>6</v>
      </c>
      <c r="T9" s="4">
        <v>20</v>
      </c>
      <c r="U9" s="4">
        <v>10</v>
      </c>
      <c r="V9" s="4">
        <v>7</v>
      </c>
      <c r="W9" s="4">
        <v>19</v>
      </c>
      <c r="X9" s="4">
        <v>9</v>
      </c>
      <c r="Y9" s="4">
        <v>14</v>
      </c>
      <c r="AA9" s="1" t="s">
        <v>7</v>
      </c>
    </row>
    <row r="10" spans="4:48" ht="16.149999999999999" thickBot="1" x14ac:dyDescent="0.55000000000000004">
      <c r="D10" s="101"/>
      <c r="E10" s="99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4:48" x14ac:dyDescent="0.5">
      <c r="D11" s="100">
        <f>IF(SUM(F11:K12)&gt;0,D9+1,"")</f>
        <v>2</v>
      </c>
      <c r="E11" s="98" t="s">
        <v>13</v>
      </c>
      <c r="F11" s="4">
        <v>15</v>
      </c>
      <c r="G11" s="4">
        <v>12</v>
      </c>
      <c r="H11" s="4">
        <v>16</v>
      </c>
      <c r="I11" s="4">
        <v>13</v>
      </c>
      <c r="J11" s="4">
        <v>2</v>
      </c>
      <c r="K11" s="4">
        <v>5</v>
      </c>
      <c r="L11" s="4">
        <v>11</v>
      </c>
      <c r="M11" s="4">
        <v>18</v>
      </c>
      <c r="N11" s="4">
        <v>17</v>
      </c>
      <c r="O11" s="4">
        <v>4</v>
      </c>
      <c r="P11" s="4">
        <v>8</v>
      </c>
      <c r="Q11" s="4">
        <v>1</v>
      </c>
      <c r="R11" s="4">
        <v>6</v>
      </c>
      <c r="S11" s="4">
        <v>20</v>
      </c>
      <c r="T11" s="4">
        <v>10</v>
      </c>
      <c r="U11" s="4">
        <v>7</v>
      </c>
      <c r="V11" s="4">
        <v>19</v>
      </c>
      <c r="W11" s="4">
        <v>9</v>
      </c>
      <c r="X11" s="4">
        <v>14</v>
      </c>
      <c r="Y11" s="4">
        <v>0</v>
      </c>
      <c r="AA11" s="1" t="s">
        <v>9</v>
      </c>
    </row>
    <row r="12" spans="4:48" ht="16.149999999999999" thickBot="1" x14ac:dyDescent="0.55000000000000004">
      <c r="D12" s="101"/>
      <c r="E12" s="99"/>
      <c r="F12" s="4">
        <v>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4:48" x14ac:dyDescent="0.5">
      <c r="D13" s="100">
        <f>IF(SUM(F13:K14)&gt;0,D11+1,"")</f>
        <v>3</v>
      </c>
      <c r="E13" s="98" t="s">
        <v>12</v>
      </c>
      <c r="F13" s="4">
        <v>12</v>
      </c>
      <c r="G13" s="4">
        <v>16</v>
      </c>
      <c r="H13" s="4">
        <v>13</v>
      </c>
      <c r="I13" s="4">
        <v>2</v>
      </c>
      <c r="J13" s="4">
        <v>5</v>
      </c>
      <c r="K13" s="4">
        <v>11</v>
      </c>
      <c r="L13" s="4">
        <v>18</v>
      </c>
      <c r="M13" s="4">
        <v>17</v>
      </c>
      <c r="N13" s="4">
        <v>4</v>
      </c>
      <c r="O13" s="4">
        <v>8</v>
      </c>
      <c r="P13" s="4">
        <v>1</v>
      </c>
      <c r="Q13" s="4">
        <v>6</v>
      </c>
      <c r="R13" s="4">
        <v>20</v>
      </c>
      <c r="S13" s="4">
        <v>10</v>
      </c>
      <c r="T13" s="4">
        <v>7</v>
      </c>
      <c r="U13" s="4">
        <v>19</v>
      </c>
      <c r="V13" s="4">
        <v>9</v>
      </c>
      <c r="W13" s="4">
        <v>14</v>
      </c>
      <c r="X13" s="4">
        <v>15</v>
      </c>
      <c r="Y13" s="4">
        <v>0</v>
      </c>
    </row>
    <row r="14" spans="4:48" ht="16.149999999999999" thickBot="1" x14ac:dyDescent="0.55000000000000004">
      <c r="D14" s="101"/>
      <c r="E14" s="99"/>
      <c r="F14" s="4">
        <v>3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AA14" s="4">
        <v>14</v>
      </c>
      <c r="AB14" s="11">
        <v>3</v>
      </c>
      <c r="AC14" s="4">
        <v>15</v>
      </c>
      <c r="AD14" s="4">
        <v>12</v>
      </c>
      <c r="AE14" s="4">
        <v>16</v>
      </c>
      <c r="AF14" s="4">
        <v>13</v>
      </c>
      <c r="AG14" s="11">
        <v>2</v>
      </c>
      <c r="AH14" s="11">
        <v>5</v>
      </c>
      <c r="AI14" s="4">
        <v>11</v>
      </c>
      <c r="AJ14" s="4">
        <v>18</v>
      </c>
      <c r="AK14" s="4">
        <v>17</v>
      </c>
      <c r="AL14" s="11">
        <v>4</v>
      </c>
      <c r="AM14" s="4">
        <v>8</v>
      </c>
      <c r="AN14" s="11">
        <v>1</v>
      </c>
      <c r="AO14" s="4">
        <v>6</v>
      </c>
      <c r="AP14" s="4">
        <v>20</v>
      </c>
      <c r="AQ14" s="4">
        <v>10</v>
      </c>
      <c r="AR14" s="4">
        <v>7</v>
      </c>
      <c r="AS14" s="4">
        <v>19</v>
      </c>
      <c r="AT14" s="4">
        <v>9</v>
      </c>
    </row>
    <row r="15" spans="4:48" x14ac:dyDescent="0.5">
      <c r="D15" s="100">
        <f>IF(SUM(F15:K16)&gt;0,D13+1,"")</f>
        <v>4</v>
      </c>
      <c r="E15" s="98" t="s">
        <v>12</v>
      </c>
      <c r="F15" s="4">
        <v>16</v>
      </c>
      <c r="G15" s="4">
        <v>13</v>
      </c>
      <c r="H15" s="4">
        <v>2</v>
      </c>
      <c r="I15" s="4">
        <v>5</v>
      </c>
      <c r="J15" s="4">
        <v>11</v>
      </c>
      <c r="K15" s="4">
        <v>18</v>
      </c>
      <c r="L15" s="4">
        <v>17</v>
      </c>
      <c r="M15" s="4">
        <v>4</v>
      </c>
      <c r="N15" s="4">
        <v>8</v>
      </c>
      <c r="O15" s="4">
        <v>1</v>
      </c>
      <c r="P15" s="4">
        <v>6</v>
      </c>
      <c r="Q15" s="4">
        <v>20</v>
      </c>
      <c r="R15" s="4">
        <v>10</v>
      </c>
      <c r="S15" s="4">
        <v>7</v>
      </c>
      <c r="T15" s="4">
        <v>19</v>
      </c>
      <c r="U15" s="4">
        <v>9</v>
      </c>
      <c r="V15" s="4">
        <v>14</v>
      </c>
      <c r="W15" s="4">
        <v>15</v>
      </c>
      <c r="X15" s="4">
        <v>12</v>
      </c>
      <c r="Y15" s="4">
        <v>0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</row>
    <row r="16" spans="4:48" ht="16.149999999999999" thickBot="1" x14ac:dyDescent="0.55000000000000004">
      <c r="D16" s="101"/>
      <c r="E16" s="99"/>
      <c r="F16" s="4">
        <v>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AV16" t="s">
        <v>23</v>
      </c>
    </row>
    <row r="17" spans="4:48" x14ac:dyDescent="0.5">
      <c r="D17" s="100">
        <f>IF(SUM(F17:K18)&gt;0,D15+1,"")</f>
        <v>5</v>
      </c>
      <c r="E17" s="98" t="s">
        <v>12</v>
      </c>
      <c r="F17" s="4">
        <v>13</v>
      </c>
      <c r="G17" s="4">
        <v>2</v>
      </c>
      <c r="H17" s="4">
        <v>5</v>
      </c>
      <c r="I17" s="4">
        <v>11</v>
      </c>
      <c r="J17" s="4">
        <v>18</v>
      </c>
      <c r="K17" s="4">
        <v>17</v>
      </c>
      <c r="L17" s="4">
        <v>4</v>
      </c>
      <c r="M17" s="4">
        <v>8</v>
      </c>
      <c r="N17" s="4">
        <v>1</v>
      </c>
      <c r="O17" s="4">
        <v>6</v>
      </c>
      <c r="P17" s="4">
        <v>20</v>
      </c>
      <c r="Q17" s="4">
        <v>10</v>
      </c>
      <c r="R17" s="4">
        <v>7</v>
      </c>
      <c r="S17" s="4">
        <v>19</v>
      </c>
      <c r="T17" s="4">
        <v>9</v>
      </c>
      <c r="U17" s="4">
        <v>14</v>
      </c>
      <c r="V17" s="4">
        <v>15</v>
      </c>
      <c r="W17" s="4">
        <v>12</v>
      </c>
      <c r="X17" s="4">
        <v>16</v>
      </c>
      <c r="Y17" s="4">
        <v>0</v>
      </c>
      <c r="Z17" t="s">
        <v>47</v>
      </c>
      <c r="AA17" s="8">
        <v>6</v>
      </c>
      <c r="AB17" s="8">
        <v>20</v>
      </c>
      <c r="AC17" s="8">
        <v>10</v>
      </c>
      <c r="AD17" s="8">
        <v>7</v>
      </c>
      <c r="AE17" s="8">
        <v>19</v>
      </c>
      <c r="AF17" s="8">
        <v>9</v>
      </c>
      <c r="AG17" s="8">
        <v>14</v>
      </c>
      <c r="AH17" s="8">
        <v>15</v>
      </c>
      <c r="AI17" s="8">
        <v>12</v>
      </c>
      <c r="AJ17" s="8">
        <v>16</v>
      </c>
      <c r="AK17" s="8">
        <v>13</v>
      </c>
      <c r="AL17" s="8">
        <v>11</v>
      </c>
      <c r="AM17" s="8">
        <v>18</v>
      </c>
      <c r="AN17" s="8">
        <v>17</v>
      </c>
      <c r="AO17" s="8">
        <v>8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</row>
    <row r="18" spans="4:48" ht="16.149999999999999" thickBot="1" x14ac:dyDescent="0.55000000000000004">
      <c r="D18" s="101"/>
      <c r="E18" s="99"/>
      <c r="F18" s="4">
        <v>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t="s">
        <v>48</v>
      </c>
      <c r="AA18" s="7">
        <v>1</v>
      </c>
      <c r="AB18" s="7">
        <v>4</v>
      </c>
      <c r="AC18" s="7">
        <v>5</v>
      </c>
      <c r="AD18" s="7">
        <v>2</v>
      </c>
      <c r="AE18" s="7">
        <v>3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</row>
    <row r="19" spans="4:48" x14ac:dyDescent="0.5">
      <c r="D19" s="100">
        <f>IF(SUM(F19:K20)&gt;0,D17+1,"")</f>
        <v>6</v>
      </c>
      <c r="E19" s="98" t="s">
        <v>12</v>
      </c>
      <c r="F19" s="4">
        <v>2</v>
      </c>
      <c r="G19" s="4">
        <v>5</v>
      </c>
      <c r="H19" s="4">
        <v>11</v>
      </c>
      <c r="I19" s="4">
        <v>18</v>
      </c>
      <c r="J19" s="4">
        <v>17</v>
      </c>
      <c r="K19" s="4">
        <v>4</v>
      </c>
      <c r="L19" s="4">
        <v>8</v>
      </c>
      <c r="M19" s="4">
        <v>1</v>
      </c>
      <c r="N19" s="4">
        <v>6</v>
      </c>
      <c r="O19" s="4">
        <v>20</v>
      </c>
      <c r="P19" s="4">
        <v>10</v>
      </c>
      <c r="Q19" s="4">
        <v>7</v>
      </c>
      <c r="R19" s="4">
        <v>19</v>
      </c>
      <c r="S19" s="4">
        <v>9</v>
      </c>
      <c r="T19" s="4">
        <v>14</v>
      </c>
      <c r="U19" s="4">
        <v>15</v>
      </c>
      <c r="V19" s="4">
        <v>12</v>
      </c>
      <c r="W19" s="4">
        <v>16</v>
      </c>
      <c r="X19" s="4">
        <v>13</v>
      </c>
      <c r="Y19" s="4">
        <v>0</v>
      </c>
      <c r="AV19" t="s">
        <v>21</v>
      </c>
    </row>
    <row r="20" spans="4:48" ht="16.149999999999999" thickBot="1" x14ac:dyDescent="0.55000000000000004">
      <c r="D20" s="101"/>
      <c r="E20" s="99"/>
      <c r="F20" s="4">
        <v>3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t="s">
        <v>48</v>
      </c>
      <c r="AA20" s="6">
        <v>4</v>
      </c>
      <c r="AB20" s="6">
        <v>5</v>
      </c>
      <c r="AC20" s="8">
        <v>6</v>
      </c>
      <c r="AD20" s="8">
        <v>20</v>
      </c>
      <c r="AE20" s="8">
        <v>10</v>
      </c>
      <c r="AF20" s="8">
        <v>7</v>
      </c>
      <c r="AG20" s="8">
        <v>19</v>
      </c>
      <c r="AH20" s="8">
        <v>9</v>
      </c>
      <c r="AI20" s="8">
        <v>14</v>
      </c>
      <c r="AJ20" s="8">
        <v>15</v>
      </c>
      <c r="AK20" s="8">
        <v>12</v>
      </c>
      <c r="AL20" s="8">
        <v>16</v>
      </c>
      <c r="AM20" s="8">
        <v>13</v>
      </c>
      <c r="AN20" s="8">
        <v>11</v>
      </c>
      <c r="AO20" s="8">
        <v>18</v>
      </c>
      <c r="AP20" s="8">
        <v>17</v>
      </c>
      <c r="AQ20" s="8">
        <v>8</v>
      </c>
      <c r="AR20" s="4">
        <v>0</v>
      </c>
      <c r="AS20" s="4">
        <v>0</v>
      </c>
      <c r="AT20" s="4">
        <v>0</v>
      </c>
    </row>
    <row r="21" spans="4:48" x14ac:dyDescent="0.5">
      <c r="D21" s="100">
        <f>IF(SUM(F21:K22)&gt;0,D19+1,"")</f>
        <v>7</v>
      </c>
      <c r="E21" s="98" t="s">
        <v>13</v>
      </c>
      <c r="F21" s="4">
        <v>5</v>
      </c>
      <c r="G21" s="4">
        <v>11</v>
      </c>
      <c r="H21" s="4">
        <v>18</v>
      </c>
      <c r="I21" s="4">
        <v>17</v>
      </c>
      <c r="J21" s="4">
        <v>4</v>
      </c>
      <c r="K21" s="4">
        <v>8</v>
      </c>
      <c r="L21" s="4">
        <v>1</v>
      </c>
      <c r="M21" s="4">
        <v>6</v>
      </c>
      <c r="N21" s="4">
        <v>20</v>
      </c>
      <c r="O21" s="4">
        <v>10</v>
      </c>
      <c r="P21" s="4">
        <v>7</v>
      </c>
      <c r="Q21" s="4">
        <v>19</v>
      </c>
      <c r="R21" s="4">
        <v>9</v>
      </c>
      <c r="S21" s="4">
        <v>14</v>
      </c>
      <c r="T21" s="4">
        <v>15</v>
      </c>
      <c r="U21" s="4">
        <v>12</v>
      </c>
      <c r="V21" s="4">
        <v>16</v>
      </c>
      <c r="W21" s="4">
        <v>13</v>
      </c>
      <c r="X21" s="4">
        <v>0</v>
      </c>
      <c r="Y21" s="4">
        <v>0</v>
      </c>
      <c r="Z21" t="s">
        <v>47</v>
      </c>
      <c r="AA21" s="10">
        <v>3</v>
      </c>
      <c r="AB21" s="10">
        <v>2</v>
      </c>
      <c r="AC21" s="10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4:48" ht="16.149999999999999" thickBot="1" x14ac:dyDescent="0.55000000000000004">
      <c r="D22" s="101"/>
      <c r="E22" s="99"/>
      <c r="F22" s="4">
        <v>2</v>
      </c>
      <c r="G22" s="4">
        <v>3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AV22" t="s">
        <v>20</v>
      </c>
    </row>
    <row r="23" spans="4:48" x14ac:dyDescent="0.5">
      <c r="D23" s="100">
        <f>IF(SUM(F23:K24)&gt;0,D21+1,"")</f>
        <v>8</v>
      </c>
      <c r="E23" s="98" t="s">
        <v>13</v>
      </c>
      <c r="F23" s="4">
        <v>11</v>
      </c>
      <c r="G23" s="4">
        <v>18</v>
      </c>
      <c r="H23" s="4">
        <v>17</v>
      </c>
      <c r="I23" s="4">
        <v>4</v>
      </c>
      <c r="J23" s="4">
        <v>8</v>
      </c>
      <c r="K23" s="4">
        <v>1</v>
      </c>
      <c r="L23" s="4">
        <v>6</v>
      </c>
      <c r="M23" s="4">
        <v>20</v>
      </c>
      <c r="N23" s="4">
        <v>10</v>
      </c>
      <c r="O23" s="4">
        <v>7</v>
      </c>
      <c r="P23" s="4">
        <v>19</v>
      </c>
      <c r="Q23" s="4">
        <v>9</v>
      </c>
      <c r="R23" s="4">
        <v>14</v>
      </c>
      <c r="S23" s="4">
        <v>15</v>
      </c>
      <c r="T23" s="4">
        <v>12</v>
      </c>
      <c r="U23" s="4">
        <v>16</v>
      </c>
      <c r="V23" s="4">
        <v>13</v>
      </c>
      <c r="W23" s="4">
        <v>0</v>
      </c>
      <c r="X23" s="4">
        <v>0</v>
      </c>
      <c r="Y23" s="4">
        <v>0</v>
      </c>
      <c r="AA23" s="11">
        <v>6</v>
      </c>
      <c r="AB23" s="4">
        <v>20</v>
      </c>
      <c r="AC23" s="11">
        <v>10</v>
      </c>
      <c r="AD23" s="11">
        <v>7</v>
      </c>
      <c r="AE23" s="4">
        <v>19</v>
      </c>
      <c r="AF23" s="11">
        <v>9</v>
      </c>
      <c r="AG23" s="4">
        <v>14</v>
      </c>
      <c r="AH23" s="4">
        <v>15</v>
      </c>
      <c r="AI23" s="4">
        <v>12</v>
      </c>
      <c r="AJ23" s="4">
        <v>16</v>
      </c>
      <c r="AK23" s="4">
        <v>13</v>
      </c>
      <c r="AL23" s="11">
        <v>11</v>
      </c>
      <c r="AM23" s="4">
        <v>18</v>
      </c>
      <c r="AN23" s="4">
        <v>17</v>
      </c>
      <c r="AO23" s="11">
        <v>8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</row>
    <row r="24" spans="4:48" ht="16.149999999999999" thickBot="1" x14ac:dyDescent="0.55000000000000004">
      <c r="D24" s="101"/>
      <c r="E24" s="99"/>
      <c r="F24" s="4">
        <v>5</v>
      </c>
      <c r="G24" s="4">
        <v>2</v>
      </c>
      <c r="H24" s="4">
        <v>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AA24" s="9">
        <v>5</v>
      </c>
      <c r="AB24" s="9">
        <v>4</v>
      </c>
      <c r="AC24" s="9">
        <v>3</v>
      </c>
      <c r="AD24" s="9">
        <v>2</v>
      </c>
      <c r="AE24" s="9">
        <v>1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</row>
    <row r="25" spans="4:48" x14ac:dyDescent="0.5">
      <c r="D25" s="100">
        <f>IF(SUM(F25:K26)&gt;0,D23+1,"")</f>
        <v>9</v>
      </c>
      <c r="E25" s="98" t="s">
        <v>12</v>
      </c>
      <c r="F25" s="4">
        <v>18</v>
      </c>
      <c r="G25" s="4">
        <v>17</v>
      </c>
      <c r="H25" s="4">
        <v>4</v>
      </c>
      <c r="I25" s="4">
        <v>8</v>
      </c>
      <c r="J25" s="4">
        <v>1</v>
      </c>
      <c r="K25" s="4">
        <v>6</v>
      </c>
      <c r="L25" s="4">
        <v>20</v>
      </c>
      <c r="M25" s="4">
        <v>10</v>
      </c>
      <c r="N25" s="4">
        <v>7</v>
      </c>
      <c r="O25" s="4">
        <v>19</v>
      </c>
      <c r="P25" s="4">
        <v>9</v>
      </c>
      <c r="Q25" s="4">
        <v>14</v>
      </c>
      <c r="R25" s="4">
        <v>15</v>
      </c>
      <c r="S25" s="4">
        <v>12</v>
      </c>
      <c r="T25" s="4">
        <v>16</v>
      </c>
      <c r="U25" s="4">
        <v>13</v>
      </c>
      <c r="V25" s="4">
        <v>11</v>
      </c>
      <c r="W25" s="4">
        <v>0</v>
      </c>
      <c r="X25" s="4">
        <v>0</v>
      </c>
      <c r="Y25" s="4">
        <v>0</v>
      </c>
      <c r="AV25" t="s">
        <v>22</v>
      </c>
    </row>
    <row r="26" spans="4:48" ht="16.149999999999999" thickBot="1" x14ac:dyDescent="0.55000000000000004">
      <c r="D26" s="101"/>
      <c r="E26" s="99"/>
      <c r="F26" s="4">
        <v>5</v>
      </c>
      <c r="G26" s="4">
        <v>2</v>
      </c>
      <c r="H26" s="4">
        <v>3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t="s">
        <v>47</v>
      </c>
      <c r="AA26" s="4">
        <v>20</v>
      </c>
      <c r="AB26" s="4">
        <v>19</v>
      </c>
      <c r="AC26" s="4">
        <v>14</v>
      </c>
      <c r="AD26" s="4">
        <v>15</v>
      </c>
      <c r="AE26" s="4">
        <v>12</v>
      </c>
      <c r="AF26" s="4">
        <v>16</v>
      </c>
      <c r="AG26" s="4">
        <v>13</v>
      </c>
      <c r="AH26" s="4">
        <v>11</v>
      </c>
      <c r="AI26" s="4">
        <v>18</v>
      </c>
      <c r="AJ26" s="4">
        <v>17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</row>
    <row r="27" spans="4:48" x14ac:dyDescent="0.5">
      <c r="D27" s="100">
        <f>IF(SUM(F27:K28)&gt;0,D25+1,"")</f>
        <v>10</v>
      </c>
      <c r="E27" s="98" t="s">
        <v>12</v>
      </c>
      <c r="F27" s="4">
        <v>17</v>
      </c>
      <c r="G27" s="4">
        <v>4</v>
      </c>
      <c r="H27" s="4">
        <v>8</v>
      </c>
      <c r="I27" s="4">
        <v>1</v>
      </c>
      <c r="J27" s="4">
        <v>6</v>
      </c>
      <c r="K27" s="4">
        <v>20</v>
      </c>
      <c r="L27" s="4">
        <v>10</v>
      </c>
      <c r="M27" s="4">
        <v>7</v>
      </c>
      <c r="N27" s="4">
        <v>19</v>
      </c>
      <c r="O27" s="4">
        <v>9</v>
      </c>
      <c r="P27" s="4">
        <v>14</v>
      </c>
      <c r="Q27" s="4">
        <v>15</v>
      </c>
      <c r="R27" s="4">
        <v>12</v>
      </c>
      <c r="S27" s="4">
        <v>16</v>
      </c>
      <c r="T27" s="4">
        <v>13</v>
      </c>
      <c r="U27" s="4">
        <v>11</v>
      </c>
      <c r="V27" s="4">
        <v>18</v>
      </c>
      <c r="W27" s="4">
        <v>0</v>
      </c>
      <c r="X27" s="4">
        <v>0</v>
      </c>
      <c r="Y27" s="4">
        <v>0</v>
      </c>
      <c r="Z27" t="s">
        <v>48</v>
      </c>
      <c r="AA27" s="7">
        <v>8</v>
      </c>
      <c r="AB27" s="7">
        <v>9</v>
      </c>
      <c r="AC27" s="7">
        <v>7</v>
      </c>
      <c r="AD27" s="7">
        <v>10</v>
      </c>
      <c r="AE27" s="7">
        <v>6</v>
      </c>
      <c r="AF27" s="9">
        <v>5</v>
      </c>
      <c r="AG27" s="9">
        <v>4</v>
      </c>
      <c r="AH27" s="9">
        <v>3</v>
      </c>
      <c r="AI27" s="9">
        <v>2</v>
      </c>
      <c r="AJ27" s="9">
        <v>1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</row>
    <row r="28" spans="4:48" ht="16.149999999999999" thickBot="1" x14ac:dyDescent="0.55000000000000004">
      <c r="D28" s="101"/>
      <c r="E28" s="99"/>
      <c r="F28" s="4">
        <v>5</v>
      </c>
      <c r="G28" s="4">
        <v>2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AV28" t="s">
        <v>24</v>
      </c>
    </row>
    <row r="29" spans="4:48" x14ac:dyDescent="0.5">
      <c r="D29" s="100">
        <f>IF(SUM(F29:K30)&gt;0,D27+1,"")</f>
        <v>11</v>
      </c>
      <c r="E29" s="98" t="s">
        <v>12</v>
      </c>
      <c r="F29" s="4">
        <v>4</v>
      </c>
      <c r="G29" s="4">
        <v>8</v>
      </c>
      <c r="H29" s="4">
        <v>1</v>
      </c>
      <c r="I29" s="4">
        <v>6</v>
      </c>
      <c r="J29" s="4">
        <v>20</v>
      </c>
      <c r="K29" s="4">
        <v>10</v>
      </c>
      <c r="L29" s="4">
        <v>7</v>
      </c>
      <c r="M29" s="4">
        <v>19</v>
      </c>
      <c r="N29" s="4">
        <v>9</v>
      </c>
      <c r="O29" s="4">
        <v>14</v>
      </c>
      <c r="P29" s="4">
        <v>15</v>
      </c>
      <c r="Q29" s="4">
        <v>12</v>
      </c>
      <c r="R29" s="4">
        <v>16</v>
      </c>
      <c r="S29" s="4">
        <v>13</v>
      </c>
      <c r="T29" s="4">
        <v>11</v>
      </c>
      <c r="U29" s="4">
        <v>18</v>
      </c>
      <c r="V29" s="4">
        <v>17</v>
      </c>
      <c r="W29" s="4">
        <v>0</v>
      </c>
      <c r="X29" s="4">
        <v>0</v>
      </c>
      <c r="Y29" s="4">
        <v>0</v>
      </c>
      <c r="Z29" t="s">
        <v>48</v>
      </c>
      <c r="AA29" s="6">
        <v>9</v>
      </c>
      <c r="AB29" s="6">
        <v>10</v>
      </c>
      <c r="AC29" s="4">
        <v>20</v>
      </c>
      <c r="AD29" s="4">
        <v>19</v>
      </c>
      <c r="AE29" s="4">
        <v>14</v>
      </c>
      <c r="AF29" s="4">
        <v>15</v>
      </c>
      <c r="AG29" s="4">
        <v>12</v>
      </c>
      <c r="AH29" s="4">
        <v>16</v>
      </c>
      <c r="AI29" s="4">
        <v>13</v>
      </c>
      <c r="AJ29" s="4">
        <v>11</v>
      </c>
      <c r="AK29" s="4">
        <v>18</v>
      </c>
      <c r="AL29" s="4">
        <v>17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</row>
    <row r="30" spans="4:48" ht="16.149999999999999" thickBot="1" x14ac:dyDescent="0.55000000000000004">
      <c r="D30" s="101"/>
      <c r="E30" s="99"/>
      <c r="F30" s="4">
        <v>5</v>
      </c>
      <c r="G30" s="4">
        <v>2</v>
      </c>
      <c r="H30" s="4">
        <v>3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t="s">
        <v>47</v>
      </c>
      <c r="AA30" s="10">
        <v>8</v>
      </c>
      <c r="AB30" s="10">
        <v>7</v>
      </c>
      <c r="AC30" s="10">
        <v>6</v>
      </c>
      <c r="AD30" s="9">
        <v>5</v>
      </c>
      <c r="AE30" s="9">
        <v>4</v>
      </c>
      <c r="AF30" s="9">
        <v>3</v>
      </c>
      <c r="AG30" s="9">
        <v>2</v>
      </c>
      <c r="AH30" s="9">
        <v>1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</row>
    <row r="31" spans="4:48" x14ac:dyDescent="0.5">
      <c r="D31" s="100">
        <f>IF(SUM(F31:K32)&gt;0,D29+1,"")</f>
        <v>12</v>
      </c>
      <c r="E31" s="98" t="s">
        <v>13</v>
      </c>
      <c r="F31" s="4">
        <v>8</v>
      </c>
      <c r="G31" s="4">
        <v>1</v>
      </c>
      <c r="H31" s="4">
        <v>6</v>
      </c>
      <c r="I31" s="4">
        <v>20</v>
      </c>
      <c r="J31" s="4">
        <v>10</v>
      </c>
      <c r="K31" s="4">
        <v>7</v>
      </c>
      <c r="L31" s="4">
        <v>19</v>
      </c>
      <c r="M31" s="4">
        <v>9</v>
      </c>
      <c r="N31" s="4">
        <v>14</v>
      </c>
      <c r="O31" s="4">
        <v>15</v>
      </c>
      <c r="P31" s="4">
        <v>12</v>
      </c>
      <c r="Q31" s="4">
        <v>16</v>
      </c>
      <c r="R31" s="4">
        <v>13</v>
      </c>
      <c r="S31" s="4">
        <v>11</v>
      </c>
      <c r="T31" s="4">
        <v>18</v>
      </c>
      <c r="U31" s="4">
        <v>17</v>
      </c>
      <c r="V31" s="4">
        <v>0</v>
      </c>
      <c r="W31" s="4">
        <v>0</v>
      </c>
      <c r="X31" s="4">
        <v>0</v>
      </c>
      <c r="Y31" s="4">
        <v>0</v>
      </c>
      <c r="AV31" t="s">
        <v>20</v>
      </c>
    </row>
    <row r="32" spans="4:48" ht="16.149999999999999" thickBot="1" x14ac:dyDescent="0.55000000000000004">
      <c r="D32" s="101"/>
      <c r="E32" s="99"/>
      <c r="F32" s="4">
        <v>4</v>
      </c>
      <c r="G32" s="4">
        <v>5</v>
      </c>
      <c r="H32" s="4">
        <v>2</v>
      </c>
      <c r="I32" s="4">
        <v>3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AA32" s="4">
        <v>20</v>
      </c>
      <c r="AB32" s="4">
        <v>19</v>
      </c>
      <c r="AC32" s="11">
        <v>14</v>
      </c>
      <c r="AD32" s="11">
        <v>15</v>
      </c>
      <c r="AE32" s="11">
        <v>12</v>
      </c>
      <c r="AF32" s="4">
        <v>16</v>
      </c>
      <c r="AG32" s="11">
        <v>13</v>
      </c>
      <c r="AH32" s="11">
        <v>11</v>
      </c>
      <c r="AI32" s="4">
        <v>18</v>
      </c>
      <c r="AJ32" s="4">
        <v>17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4:48" x14ac:dyDescent="0.5">
      <c r="D33" s="100">
        <f>IF(SUM(F33:K34)&gt;0,D31+1,"")</f>
        <v>13</v>
      </c>
      <c r="E33" s="98" t="s">
        <v>12</v>
      </c>
      <c r="F33" s="4">
        <v>1</v>
      </c>
      <c r="G33" s="4">
        <v>6</v>
      </c>
      <c r="H33" s="4">
        <v>20</v>
      </c>
      <c r="I33" s="4">
        <v>10</v>
      </c>
      <c r="J33" s="4">
        <v>7</v>
      </c>
      <c r="K33" s="4">
        <v>19</v>
      </c>
      <c r="L33" s="4">
        <v>9</v>
      </c>
      <c r="M33" s="4">
        <v>14</v>
      </c>
      <c r="N33" s="4">
        <v>15</v>
      </c>
      <c r="O33" s="4">
        <v>12</v>
      </c>
      <c r="P33" s="4">
        <v>16</v>
      </c>
      <c r="Q33" s="4">
        <v>13</v>
      </c>
      <c r="R33" s="4">
        <v>11</v>
      </c>
      <c r="S33" s="4">
        <v>18</v>
      </c>
      <c r="T33" s="4">
        <v>17</v>
      </c>
      <c r="U33" s="4">
        <v>8</v>
      </c>
      <c r="V33" s="4">
        <v>0</v>
      </c>
      <c r="W33" s="4">
        <v>0</v>
      </c>
      <c r="X33" s="4">
        <v>0</v>
      </c>
      <c r="Y33" s="4">
        <v>0</v>
      </c>
      <c r="AA33" s="9">
        <v>10</v>
      </c>
      <c r="AB33" s="9">
        <v>9</v>
      </c>
      <c r="AC33" s="9">
        <v>8</v>
      </c>
      <c r="AD33" s="9">
        <v>7</v>
      </c>
      <c r="AE33" s="9">
        <v>6</v>
      </c>
      <c r="AF33" s="9">
        <v>5</v>
      </c>
      <c r="AG33" s="9">
        <v>4</v>
      </c>
      <c r="AH33" s="9">
        <v>3</v>
      </c>
      <c r="AI33" s="9">
        <v>2</v>
      </c>
      <c r="AJ33" s="9">
        <v>1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</row>
    <row r="34" spans="4:48" ht="16.149999999999999" thickBot="1" x14ac:dyDescent="0.55000000000000004">
      <c r="D34" s="101"/>
      <c r="E34" s="99"/>
      <c r="F34" s="4">
        <v>4</v>
      </c>
      <c r="G34" s="4">
        <v>5</v>
      </c>
      <c r="H34" s="4">
        <v>2</v>
      </c>
      <c r="I34" s="4">
        <v>3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AV34" t="s">
        <v>25</v>
      </c>
    </row>
    <row r="35" spans="4:48" x14ac:dyDescent="0.5">
      <c r="D35" s="100">
        <f>IF(SUM(F35:K36)&gt;0,D33+1,"")</f>
        <v>14</v>
      </c>
      <c r="E35" s="98" t="s">
        <v>13</v>
      </c>
      <c r="F35" s="4">
        <v>6</v>
      </c>
      <c r="G35" s="4">
        <v>20</v>
      </c>
      <c r="H35" s="4">
        <v>10</v>
      </c>
      <c r="I35" s="4">
        <v>7</v>
      </c>
      <c r="J35" s="4">
        <v>19</v>
      </c>
      <c r="K35" s="4">
        <v>9</v>
      </c>
      <c r="L35" s="4">
        <v>14</v>
      </c>
      <c r="M35" s="4">
        <v>15</v>
      </c>
      <c r="N35" s="4">
        <v>12</v>
      </c>
      <c r="O35" s="4">
        <v>16</v>
      </c>
      <c r="P35" s="4">
        <v>13</v>
      </c>
      <c r="Q35" s="4">
        <v>11</v>
      </c>
      <c r="R35" s="4">
        <v>18</v>
      </c>
      <c r="S35" s="4">
        <v>17</v>
      </c>
      <c r="T35" s="4">
        <v>8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t="s">
        <v>47</v>
      </c>
      <c r="AA35" s="4">
        <v>18</v>
      </c>
      <c r="AB35" s="4">
        <v>17</v>
      </c>
      <c r="AC35" s="4">
        <v>20</v>
      </c>
      <c r="AD35" s="4">
        <v>19</v>
      </c>
      <c r="AE35" s="4">
        <v>16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</row>
    <row r="36" spans="4:48" ht="16.149999999999999" thickBot="1" x14ac:dyDescent="0.55000000000000004">
      <c r="D36" s="101"/>
      <c r="E36" s="99"/>
      <c r="F36" s="4">
        <v>1</v>
      </c>
      <c r="G36" s="4">
        <v>4</v>
      </c>
      <c r="H36" s="4">
        <v>5</v>
      </c>
      <c r="I36" s="4">
        <v>2</v>
      </c>
      <c r="J36" s="4">
        <v>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t="s">
        <v>48</v>
      </c>
      <c r="AA36" s="7">
        <v>11</v>
      </c>
      <c r="AB36" s="7">
        <v>13</v>
      </c>
      <c r="AC36" s="7">
        <v>12</v>
      </c>
      <c r="AD36" s="7">
        <v>15</v>
      </c>
      <c r="AE36" s="7">
        <v>14</v>
      </c>
      <c r="AF36" s="9">
        <v>10</v>
      </c>
      <c r="AG36" s="9">
        <v>9</v>
      </c>
      <c r="AH36" s="9">
        <v>8</v>
      </c>
      <c r="AI36" s="9">
        <v>7</v>
      </c>
      <c r="AJ36" s="9">
        <v>6</v>
      </c>
      <c r="AK36" s="9">
        <v>5</v>
      </c>
      <c r="AL36" s="9">
        <v>4</v>
      </c>
      <c r="AM36" s="9">
        <v>3</v>
      </c>
      <c r="AN36" s="9">
        <v>2</v>
      </c>
      <c r="AO36" s="9">
        <v>1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</row>
    <row r="37" spans="4:48" x14ac:dyDescent="0.5">
      <c r="D37" s="100">
        <f>IF(SUM(F37:K38)&gt;0,D35+1,"")</f>
        <v>15</v>
      </c>
      <c r="E37" s="98" t="s">
        <v>14</v>
      </c>
      <c r="F37" s="4">
        <v>6</v>
      </c>
      <c r="G37" s="4">
        <v>20</v>
      </c>
      <c r="H37" s="4">
        <v>10</v>
      </c>
      <c r="I37" s="4">
        <v>7</v>
      </c>
      <c r="J37" s="4">
        <v>19</v>
      </c>
      <c r="K37" s="4">
        <v>9</v>
      </c>
      <c r="L37" s="4">
        <v>14</v>
      </c>
      <c r="M37" s="4">
        <v>15</v>
      </c>
      <c r="N37" s="4">
        <v>12</v>
      </c>
      <c r="O37" s="4">
        <v>16</v>
      </c>
      <c r="P37" s="4">
        <v>13</v>
      </c>
      <c r="Q37" s="4">
        <v>11</v>
      </c>
      <c r="R37" s="4">
        <v>18</v>
      </c>
      <c r="S37" s="4">
        <v>17</v>
      </c>
      <c r="T37" s="4">
        <v>8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AV37" t="s">
        <v>26</v>
      </c>
    </row>
    <row r="38" spans="4:48" ht="16.149999999999999" thickBot="1" x14ac:dyDescent="0.55000000000000004">
      <c r="D38" s="101"/>
      <c r="E38" s="99"/>
      <c r="F38" s="4">
        <v>4</v>
      </c>
      <c r="G38" s="4">
        <v>5</v>
      </c>
      <c r="H38" s="4">
        <v>2</v>
      </c>
      <c r="I38" s="4">
        <v>3</v>
      </c>
      <c r="J38" s="4">
        <v>1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t="s">
        <v>48</v>
      </c>
      <c r="AA38" s="6">
        <v>12</v>
      </c>
      <c r="AB38" s="6">
        <v>13</v>
      </c>
      <c r="AC38" s="6">
        <v>14</v>
      </c>
      <c r="AD38" s="6">
        <v>15</v>
      </c>
      <c r="AE38" s="4">
        <v>18</v>
      </c>
      <c r="AF38" s="4">
        <v>17</v>
      </c>
      <c r="AG38" s="4">
        <v>20</v>
      </c>
      <c r="AH38" s="4">
        <v>19</v>
      </c>
      <c r="AI38" s="4">
        <v>16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4:48" x14ac:dyDescent="0.5">
      <c r="D39" s="100">
        <f>IF(SUM(F39:K40)&gt;0,D37+1,"")</f>
        <v>16</v>
      </c>
      <c r="E39" s="98" t="s">
        <v>14</v>
      </c>
      <c r="F39" s="4">
        <v>6</v>
      </c>
      <c r="G39" s="4">
        <v>20</v>
      </c>
      <c r="H39" s="4">
        <v>10</v>
      </c>
      <c r="I39" s="4">
        <v>7</v>
      </c>
      <c r="J39" s="4">
        <v>19</v>
      </c>
      <c r="K39" s="4">
        <v>9</v>
      </c>
      <c r="L39" s="4">
        <v>14</v>
      </c>
      <c r="M39" s="4">
        <v>15</v>
      </c>
      <c r="N39" s="4">
        <v>12</v>
      </c>
      <c r="O39" s="4">
        <v>16</v>
      </c>
      <c r="P39" s="4">
        <v>13</v>
      </c>
      <c r="Q39" s="4">
        <v>11</v>
      </c>
      <c r="R39" s="4">
        <v>18</v>
      </c>
      <c r="S39" s="4">
        <v>17</v>
      </c>
      <c r="T39" s="4">
        <v>8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t="s">
        <v>47</v>
      </c>
      <c r="AA39" s="10">
        <v>11</v>
      </c>
      <c r="AB39" s="9">
        <v>10</v>
      </c>
      <c r="AC39" s="9">
        <v>9</v>
      </c>
      <c r="AD39" s="9">
        <v>8</v>
      </c>
      <c r="AE39" s="9">
        <v>7</v>
      </c>
      <c r="AF39" s="9">
        <v>6</v>
      </c>
      <c r="AG39" s="9">
        <v>5</v>
      </c>
      <c r="AH39" s="9">
        <v>4</v>
      </c>
      <c r="AI39" s="9">
        <v>3</v>
      </c>
      <c r="AJ39" s="9">
        <v>2</v>
      </c>
      <c r="AK39" s="9">
        <v>1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4:48" ht="16.149999999999999" thickBot="1" x14ac:dyDescent="0.55000000000000004">
      <c r="D40" s="101"/>
      <c r="E40" s="99"/>
      <c r="F40" s="4">
        <v>5</v>
      </c>
      <c r="G40" s="4">
        <v>2</v>
      </c>
      <c r="H40" s="4">
        <v>3</v>
      </c>
      <c r="I40" s="4">
        <v>1</v>
      </c>
      <c r="J40" s="4">
        <v>4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AV40" t="s">
        <v>20</v>
      </c>
    </row>
    <row r="41" spans="4:48" x14ac:dyDescent="0.5">
      <c r="D41" s="100">
        <f>IF(SUM(F41:K42)&gt;0,D39+1,"")</f>
        <v>17</v>
      </c>
      <c r="E41" s="98" t="s">
        <v>15</v>
      </c>
      <c r="F41" s="4">
        <v>5</v>
      </c>
      <c r="G41" s="4">
        <v>6</v>
      </c>
      <c r="H41" s="4">
        <v>20</v>
      </c>
      <c r="I41" s="4">
        <v>10</v>
      </c>
      <c r="J41" s="4">
        <v>7</v>
      </c>
      <c r="K41" s="4">
        <v>19</v>
      </c>
      <c r="L41" s="4">
        <v>9</v>
      </c>
      <c r="M41" s="4">
        <v>14</v>
      </c>
      <c r="N41" s="4">
        <v>15</v>
      </c>
      <c r="O41" s="4">
        <v>12</v>
      </c>
      <c r="P41" s="4">
        <v>16</v>
      </c>
      <c r="Q41" s="4">
        <v>13</v>
      </c>
      <c r="R41" s="4">
        <v>11</v>
      </c>
      <c r="S41" s="4">
        <v>18</v>
      </c>
      <c r="T41" s="4">
        <v>17</v>
      </c>
      <c r="U41" s="4">
        <v>8</v>
      </c>
      <c r="V41" s="4">
        <v>0</v>
      </c>
      <c r="W41" s="4">
        <v>0</v>
      </c>
      <c r="X41" s="4">
        <v>0</v>
      </c>
      <c r="Y41" s="4">
        <v>0</v>
      </c>
      <c r="AA41" s="11">
        <v>18</v>
      </c>
      <c r="AB41" s="11">
        <v>17</v>
      </c>
      <c r="AC41" s="11">
        <v>20</v>
      </c>
      <c r="AD41" s="11">
        <v>19</v>
      </c>
      <c r="AE41" s="11">
        <v>16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</row>
    <row r="42" spans="4:48" ht="16.149999999999999" thickBot="1" x14ac:dyDescent="0.55000000000000004">
      <c r="D42" s="101"/>
      <c r="E42" s="99"/>
      <c r="F42" s="4">
        <v>2</v>
      </c>
      <c r="G42" s="4">
        <v>3</v>
      </c>
      <c r="H42" s="4">
        <v>1</v>
      </c>
      <c r="I42" s="4">
        <v>4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AA42" s="9">
        <v>15</v>
      </c>
      <c r="AB42" s="9">
        <v>14</v>
      </c>
      <c r="AC42" s="9">
        <v>13</v>
      </c>
      <c r="AD42" s="9">
        <v>12</v>
      </c>
      <c r="AE42" s="9">
        <v>11</v>
      </c>
      <c r="AF42" s="9">
        <v>10</v>
      </c>
      <c r="AG42" s="9">
        <v>9</v>
      </c>
      <c r="AH42" s="9">
        <v>8</v>
      </c>
      <c r="AI42" s="9">
        <v>7</v>
      </c>
      <c r="AJ42" s="9">
        <v>6</v>
      </c>
      <c r="AK42" s="9">
        <v>5</v>
      </c>
      <c r="AL42" s="9">
        <v>4</v>
      </c>
      <c r="AM42" s="9">
        <v>3</v>
      </c>
      <c r="AN42" s="9">
        <v>2</v>
      </c>
      <c r="AO42" s="9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</row>
    <row r="43" spans="4:48" x14ac:dyDescent="0.5">
      <c r="D43" s="100">
        <f>IF(SUM(F43:K44)&gt;0,D41+1,"")</f>
        <v>18</v>
      </c>
      <c r="E43" s="98" t="s">
        <v>16</v>
      </c>
      <c r="F43" s="4">
        <v>5</v>
      </c>
      <c r="G43" s="4">
        <v>6</v>
      </c>
      <c r="H43" s="4">
        <v>20</v>
      </c>
      <c r="I43" s="4">
        <v>10</v>
      </c>
      <c r="J43" s="4">
        <v>7</v>
      </c>
      <c r="K43" s="4">
        <v>19</v>
      </c>
      <c r="L43" s="4">
        <v>9</v>
      </c>
      <c r="M43" s="4">
        <v>14</v>
      </c>
      <c r="N43" s="4">
        <v>15</v>
      </c>
      <c r="O43" s="4">
        <v>12</v>
      </c>
      <c r="P43" s="4">
        <v>16</v>
      </c>
      <c r="Q43" s="4">
        <v>13</v>
      </c>
      <c r="R43" s="4">
        <v>11</v>
      </c>
      <c r="S43" s="4">
        <v>18</v>
      </c>
      <c r="T43" s="4">
        <v>17</v>
      </c>
      <c r="U43" s="4">
        <v>8</v>
      </c>
      <c r="V43" s="4">
        <v>0</v>
      </c>
      <c r="W43" s="4">
        <v>0</v>
      </c>
      <c r="X43" s="4">
        <v>0</v>
      </c>
      <c r="Y43" s="4">
        <v>0</v>
      </c>
      <c r="AV43" t="s">
        <v>27</v>
      </c>
    </row>
    <row r="44" spans="4:48" ht="16.149999999999999" thickBot="1" x14ac:dyDescent="0.55000000000000004">
      <c r="D44" s="101"/>
      <c r="E44" s="99"/>
      <c r="F44" s="4">
        <v>4</v>
      </c>
      <c r="G44" s="4">
        <v>2</v>
      </c>
      <c r="H44" s="4">
        <v>3</v>
      </c>
      <c r="I44" s="4">
        <v>1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AA44" s="6">
        <v>19</v>
      </c>
      <c r="AB44" s="6">
        <v>20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V44" t="s">
        <v>28</v>
      </c>
    </row>
    <row r="45" spans="4:48" x14ac:dyDescent="0.5">
      <c r="D45" s="100">
        <f>IF(SUM(F45:K46)&gt;0,D43+1,"")</f>
        <v>19</v>
      </c>
      <c r="E45" s="98" t="s">
        <v>15</v>
      </c>
      <c r="F45" s="4">
        <v>4</v>
      </c>
      <c r="G45" s="4">
        <v>5</v>
      </c>
      <c r="H45" s="4">
        <v>6</v>
      </c>
      <c r="I45" s="4">
        <v>20</v>
      </c>
      <c r="J45" s="4">
        <v>10</v>
      </c>
      <c r="K45" s="4">
        <v>7</v>
      </c>
      <c r="L45" s="4">
        <v>19</v>
      </c>
      <c r="M45" s="4">
        <v>9</v>
      </c>
      <c r="N45" s="4">
        <v>14</v>
      </c>
      <c r="O45" s="4">
        <v>15</v>
      </c>
      <c r="P45" s="4">
        <v>12</v>
      </c>
      <c r="Q45" s="4">
        <v>16</v>
      </c>
      <c r="R45" s="4">
        <v>13</v>
      </c>
      <c r="S45" s="4">
        <v>11</v>
      </c>
      <c r="T45" s="4">
        <v>18</v>
      </c>
      <c r="U45" s="4">
        <v>17</v>
      </c>
      <c r="V45" s="4">
        <v>8</v>
      </c>
      <c r="W45" s="4">
        <v>0</v>
      </c>
      <c r="X45" s="4">
        <v>0</v>
      </c>
      <c r="Y45" s="4">
        <v>0</v>
      </c>
      <c r="AA45" s="10">
        <v>18</v>
      </c>
      <c r="AB45" s="10">
        <v>17</v>
      </c>
      <c r="AC45" s="10">
        <v>16</v>
      </c>
      <c r="AD45" s="9">
        <v>15</v>
      </c>
      <c r="AE45" s="9">
        <v>14</v>
      </c>
      <c r="AF45" s="9">
        <v>13</v>
      </c>
      <c r="AG45" s="9">
        <v>12</v>
      </c>
      <c r="AH45" s="9">
        <v>11</v>
      </c>
      <c r="AI45" s="9">
        <v>10</v>
      </c>
      <c r="AJ45" s="9">
        <v>9</v>
      </c>
      <c r="AK45" s="9">
        <v>8</v>
      </c>
      <c r="AL45" s="9">
        <v>7</v>
      </c>
      <c r="AM45" s="9">
        <v>6</v>
      </c>
      <c r="AN45" s="9">
        <v>5</v>
      </c>
      <c r="AO45" s="9">
        <v>4</v>
      </c>
      <c r="AP45" s="9">
        <v>3</v>
      </c>
      <c r="AQ45" s="9">
        <v>2</v>
      </c>
      <c r="AR45" s="9">
        <v>1</v>
      </c>
      <c r="AS45" s="4">
        <v>0</v>
      </c>
      <c r="AT45" s="4">
        <v>0</v>
      </c>
    </row>
    <row r="46" spans="4:48" ht="16.149999999999999" thickBot="1" x14ac:dyDescent="0.55000000000000004">
      <c r="D46" s="101"/>
      <c r="E46" s="99"/>
      <c r="F46" s="4">
        <v>2</v>
      </c>
      <c r="G46" s="4">
        <v>3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48" x14ac:dyDescent="0.5">
      <c r="D47" s="100">
        <f>IF(SUM(F47:K48)&gt;0,D45+1,"")</f>
        <v>20</v>
      </c>
      <c r="E47" s="98" t="s">
        <v>17</v>
      </c>
      <c r="F47" s="4">
        <v>4</v>
      </c>
      <c r="G47" s="4">
        <v>5</v>
      </c>
      <c r="H47" s="4">
        <v>6</v>
      </c>
      <c r="I47" s="4">
        <v>20</v>
      </c>
      <c r="J47" s="4">
        <v>10</v>
      </c>
      <c r="K47" s="4">
        <v>7</v>
      </c>
      <c r="L47" s="4">
        <v>19</v>
      </c>
      <c r="M47" s="4">
        <v>9</v>
      </c>
      <c r="N47" s="4">
        <v>14</v>
      </c>
      <c r="O47" s="4">
        <v>15</v>
      </c>
      <c r="P47" s="4">
        <v>12</v>
      </c>
      <c r="Q47" s="4">
        <v>16</v>
      </c>
      <c r="R47" s="4">
        <v>13</v>
      </c>
      <c r="S47" s="4">
        <v>11</v>
      </c>
      <c r="T47" s="4">
        <v>18</v>
      </c>
      <c r="U47" s="4">
        <v>17</v>
      </c>
      <c r="V47" s="4">
        <v>8</v>
      </c>
      <c r="W47" s="4">
        <v>0</v>
      </c>
      <c r="X47" s="4">
        <v>0</v>
      </c>
      <c r="Y47" s="4">
        <v>0</v>
      </c>
      <c r="AA47" s="4">
        <v>1</v>
      </c>
      <c r="AB47" s="4">
        <v>2</v>
      </c>
      <c r="AC47" s="4">
        <v>3</v>
      </c>
      <c r="AD47" s="4">
        <v>4</v>
      </c>
      <c r="AE47" s="4">
        <v>5</v>
      </c>
      <c r="AF47" s="4">
        <v>6</v>
      </c>
      <c r="AG47" s="4">
        <v>7</v>
      </c>
      <c r="AH47" s="4">
        <v>8</v>
      </c>
      <c r="AI47" s="4">
        <v>9</v>
      </c>
      <c r="AJ47" s="4">
        <v>10</v>
      </c>
      <c r="AK47" s="4">
        <v>11</v>
      </c>
      <c r="AL47" s="4">
        <v>12</v>
      </c>
      <c r="AM47" s="4">
        <v>13</v>
      </c>
      <c r="AN47" s="4">
        <v>14</v>
      </c>
      <c r="AO47" s="4">
        <v>15</v>
      </c>
      <c r="AP47" s="4">
        <v>16</v>
      </c>
      <c r="AQ47" s="4">
        <v>17</v>
      </c>
      <c r="AR47" s="4">
        <v>18</v>
      </c>
      <c r="AS47" s="4">
        <v>19</v>
      </c>
      <c r="AT47" s="4">
        <v>20</v>
      </c>
      <c r="AV47" t="s">
        <v>30</v>
      </c>
    </row>
    <row r="48" spans="4:48" ht="16.149999999999999" thickBot="1" x14ac:dyDescent="0.55000000000000004">
      <c r="D48" s="101"/>
      <c r="E48" s="99"/>
      <c r="F48" s="4">
        <v>3</v>
      </c>
      <c r="G48" s="4">
        <v>2</v>
      </c>
      <c r="H48" s="4">
        <v>1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V48" t="s">
        <v>29</v>
      </c>
    </row>
    <row r="49" spans="4:25" x14ac:dyDescent="0.5">
      <c r="D49" s="100">
        <f>IF(SUM(F49:K50)&gt;0,D47+1,"")</f>
        <v>21</v>
      </c>
      <c r="E49" s="98" t="s">
        <v>13</v>
      </c>
      <c r="F49" s="4">
        <v>5</v>
      </c>
      <c r="G49" s="4">
        <v>6</v>
      </c>
      <c r="H49" s="4">
        <v>20</v>
      </c>
      <c r="I49" s="4">
        <v>10</v>
      </c>
      <c r="J49" s="4">
        <v>7</v>
      </c>
      <c r="K49" s="4">
        <v>19</v>
      </c>
      <c r="L49" s="4">
        <v>9</v>
      </c>
      <c r="M49" s="4">
        <v>14</v>
      </c>
      <c r="N49" s="4">
        <v>15</v>
      </c>
      <c r="O49" s="4">
        <v>12</v>
      </c>
      <c r="P49" s="4">
        <v>16</v>
      </c>
      <c r="Q49" s="4">
        <v>13</v>
      </c>
      <c r="R49" s="4">
        <v>11</v>
      </c>
      <c r="S49" s="4">
        <v>18</v>
      </c>
      <c r="T49" s="4">
        <v>17</v>
      </c>
      <c r="U49" s="4">
        <v>8</v>
      </c>
      <c r="V49" s="4">
        <v>0</v>
      </c>
      <c r="W49" s="4">
        <v>0</v>
      </c>
      <c r="X49" s="4">
        <v>0</v>
      </c>
      <c r="Y49" s="4">
        <v>0</v>
      </c>
    </row>
    <row r="50" spans="4:25" ht="16.149999999999999" thickBot="1" x14ac:dyDescent="0.55000000000000004">
      <c r="D50" s="101"/>
      <c r="E50" s="99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5">
      <c r="D51" s="100">
        <f>IF(SUM(F51:K52)&gt;0,D49+1,"")</f>
        <v>22</v>
      </c>
      <c r="E51" s="98" t="s">
        <v>13</v>
      </c>
      <c r="F51" s="4">
        <v>6</v>
      </c>
      <c r="G51" s="4">
        <v>20</v>
      </c>
      <c r="H51" s="4">
        <v>10</v>
      </c>
      <c r="I51" s="4">
        <v>7</v>
      </c>
      <c r="J51" s="4">
        <v>19</v>
      </c>
      <c r="K51" s="4">
        <v>9</v>
      </c>
      <c r="L51" s="4">
        <v>14</v>
      </c>
      <c r="M51" s="4">
        <v>15</v>
      </c>
      <c r="N51" s="4">
        <v>12</v>
      </c>
      <c r="O51" s="4">
        <v>16</v>
      </c>
      <c r="P51" s="4">
        <v>13</v>
      </c>
      <c r="Q51" s="4">
        <v>11</v>
      </c>
      <c r="R51" s="4">
        <v>18</v>
      </c>
      <c r="S51" s="4">
        <v>17</v>
      </c>
      <c r="T51" s="4">
        <v>8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</row>
    <row r="52" spans="4:25" ht="16.149999999999999" thickBot="1" x14ac:dyDescent="0.55000000000000004">
      <c r="D52" s="101"/>
      <c r="E52" s="99"/>
      <c r="F52" s="4">
        <v>5</v>
      </c>
      <c r="G52" s="4">
        <v>4</v>
      </c>
      <c r="H52" s="4">
        <v>3</v>
      </c>
      <c r="I52" s="4">
        <v>2</v>
      </c>
      <c r="J52" s="4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5">
      <c r="D53" s="100">
        <f>IF(SUM(F53:K54)&gt;0,D51+1,"")</f>
        <v>23</v>
      </c>
      <c r="E53" s="98" t="s">
        <v>13</v>
      </c>
      <c r="F53" s="4">
        <v>20</v>
      </c>
      <c r="G53" s="4">
        <v>10</v>
      </c>
      <c r="H53" s="4">
        <v>7</v>
      </c>
      <c r="I53" s="4">
        <v>19</v>
      </c>
      <c r="J53" s="4">
        <v>9</v>
      </c>
      <c r="K53" s="4">
        <v>14</v>
      </c>
      <c r="L53" s="4">
        <v>15</v>
      </c>
      <c r="M53" s="4">
        <v>12</v>
      </c>
      <c r="N53" s="4">
        <v>16</v>
      </c>
      <c r="O53" s="4">
        <v>13</v>
      </c>
      <c r="P53" s="4">
        <v>11</v>
      </c>
      <c r="Q53" s="4">
        <v>18</v>
      </c>
      <c r="R53" s="4">
        <v>17</v>
      </c>
      <c r="S53" s="4">
        <v>8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</row>
    <row r="54" spans="4:25" ht="16.149999999999999" thickBot="1" x14ac:dyDescent="0.55000000000000004">
      <c r="D54" s="101"/>
      <c r="E54" s="99"/>
      <c r="F54" s="4">
        <v>6</v>
      </c>
      <c r="G54" s="4">
        <v>5</v>
      </c>
      <c r="H54" s="4">
        <v>4</v>
      </c>
      <c r="I54" s="4">
        <v>3</v>
      </c>
      <c r="J54" s="4">
        <v>2</v>
      </c>
      <c r="K54" s="4">
        <v>1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5">
      <c r="D55" s="100">
        <f>IF(SUM(F55:K56)&gt;0,D53+1,"")</f>
        <v>24</v>
      </c>
      <c r="E55" s="98" t="s">
        <v>12</v>
      </c>
      <c r="F55" s="4">
        <v>10</v>
      </c>
      <c r="G55" s="4">
        <v>7</v>
      </c>
      <c r="H55" s="4">
        <v>19</v>
      </c>
      <c r="I55" s="4">
        <v>9</v>
      </c>
      <c r="J55" s="4">
        <v>14</v>
      </c>
      <c r="K55" s="4">
        <v>15</v>
      </c>
      <c r="L55" s="4">
        <v>12</v>
      </c>
      <c r="M55" s="4">
        <v>16</v>
      </c>
      <c r="N55" s="4">
        <v>13</v>
      </c>
      <c r="O55" s="4">
        <v>11</v>
      </c>
      <c r="P55" s="4">
        <v>18</v>
      </c>
      <c r="Q55" s="4">
        <v>17</v>
      </c>
      <c r="R55" s="4">
        <v>8</v>
      </c>
      <c r="S55" s="4">
        <v>20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</row>
    <row r="56" spans="4:25" ht="16.149999999999999" thickBot="1" x14ac:dyDescent="0.55000000000000004">
      <c r="D56" s="101"/>
      <c r="E56" s="99"/>
      <c r="F56" s="4">
        <v>6</v>
      </c>
      <c r="G56" s="4">
        <v>5</v>
      </c>
      <c r="H56" s="4">
        <v>4</v>
      </c>
      <c r="I56" s="4">
        <v>3</v>
      </c>
      <c r="J56" s="4">
        <v>2</v>
      </c>
      <c r="K56" s="4">
        <v>1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5">
      <c r="D57" s="100">
        <f>IF(SUM(F57:K58)&gt;0,D55+1,"")</f>
        <v>25</v>
      </c>
      <c r="E57" s="98" t="s">
        <v>13</v>
      </c>
      <c r="F57" s="4">
        <v>7</v>
      </c>
      <c r="G57" s="4">
        <v>19</v>
      </c>
      <c r="H57" s="4">
        <v>9</v>
      </c>
      <c r="I57" s="4">
        <v>14</v>
      </c>
      <c r="J57" s="4">
        <v>15</v>
      </c>
      <c r="K57" s="4">
        <v>12</v>
      </c>
      <c r="L57" s="4">
        <v>16</v>
      </c>
      <c r="M57" s="4">
        <v>13</v>
      </c>
      <c r="N57" s="4">
        <v>11</v>
      </c>
      <c r="O57" s="4">
        <v>18</v>
      </c>
      <c r="P57" s="4">
        <v>17</v>
      </c>
      <c r="Q57" s="4">
        <v>8</v>
      </c>
      <c r="R57" s="4">
        <v>20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</row>
    <row r="58" spans="4:25" ht="16.149999999999999" thickBot="1" x14ac:dyDescent="0.55000000000000004">
      <c r="D58" s="101"/>
      <c r="E58" s="99"/>
      <c r="F58" s="4">
        <v>10</v>
      </c>
      <c r="G58" s="4">
        <v>6</v>
      </c>
      <c r="H58" s="4">
        <v>5</v>
      </c>
      <c r="I58" s="4">
        <v>4</v>
      </c>
      <c r="J58" s="4">
        <v>3</v>
      </c>
      <c r="K58" s="4">
        <v>2</v>
      </c>
      <c r="L58" s="4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5">
      <c r="D59" s="100">
        <f>IF(SUM(F59:K60)&gt;0,D57+1,"")</f>
        <v>26</v>
      </c>
      <c r="E59" s="98" t="s">
        <v>13</v>
      </c>
      <c r="F59" s="4">
        <v>19</v>
      </c>
      <c r="G59" s="4">
        <v>9</v>
      </c>
      <c r="H59" s="4">
        <v>14</v>
      </c>
      <c r="I59" s="4">
        <v>15</v>
      </c>
      <c r="J59" s="4">
        <v>12</v>
      </c>
      <c r="K59" s="4">
        <v>16</v>
      </c>
      <c r="L59" s="4">
        <v>13</v>
      </c>
      <c r="M59" s="4">
        <v>11</v>
      </c>
      <c r="N59" s="4">
        <v>18</v>
      </c>
      <c r="O59" s="4">
        <v>17</v>
      </c>
      <c r="P59" s="4">
        <v>8</v>
      </c>
      <c r="Q59" s="4">
        <v>20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</row>
    <row r="60" spans="4:25" ht="16.149999999999999" thickBot="1" x14ac:dyDescent="0.55000000000000004">
      <c r="D60" s="101"/>
      <c r="E60" s="99"/>
      <c r="F60" s="4">
        <v>7</v>
      </c>
      <c r="G60" s="4">
        <v>10</v>
      </c>
      <c r="H60" s="4">
        <v>6</v>
      </c>
      <c r="I60" s="4">
        <v>5</v>
      </c>
      <c r="J60" s="4">
        <v>4</v>
      </c>
      <c r="K60" s="4">
        <v>3</v>
      </c>
      <c r="L60" s="4">
        <v>2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</row>
    <row r="61" spans="4:25" x14ac:dyDescent="0.5">
      <c r="D61" s="100">
        <f>IF(SUM(F61:K62)&gt;0,D59+1,"")</f>
        <v>27</v>
      </c>
      <c r="E61" s="98" t="s">
        <v>12</v>
      </c>
      <c r="F61" s="4">
        <v>9</v>
      </c>
      <c r="G61" s="4">
        <v>14</v>
      </c>
      <c r="H61" s="4">
        <v>15</v>
      </c>
      <c r="I61" s="4">
        <v>12</v>
      </c>
      <c r="J61" s="4">
        <v>16</v>
      </c>
      <c r="K61" s="4">
        <v>13</v>
      </c>
      <c r="L61" s="4">
        <v>11</v>
      </c>
      <c r="M61" s="4">
        <v>18</v>
      </c>
      <c r="N61" s="4">
        <v>17</v>
      </c>
      <c r="O61" s="4">
        <v>8</v>
      </c>
      <c r="P61" s="4">
        <v>20</v>
      </c>
      <c r="Q61" s="4">
        <v>19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</row>
    <row r="62" spans="4:25" ht="16.149999999999999" thickBot="1" x14ac:dyDescent="0.55000000000000004">
      <c r="D62" s="101"/>
      <c r="E62" s="99"/>
      <c r="F62" s="4">
        <v>7</v>
      </c>
      <c r="G62" s="4">
        <v>10</v>
      </c>
      <c r="H62" s="4">
        <v>6</v>
      </c>
      <c r="I62" s="4">
        <v>5</v>
      </c>
      <c r="J62" s="4">
        <v>4</v>
      </c>
      <c r="K62" s="4">
        <v>3</v>
      </c>
      <c r="L62" s="4">
        <v>2</v>
      </c>
      <c r="M62" s="4">
        <v>1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</row>
    <row r="63" spans="4:25" x14ac:dyDescent="0.5">
      <c r="D63" s="100">
        <f>IF(SUM(F63:K64)&gt;0,D61+1,"")</f>
        <v>28</v>
      </c>
      <c r="E63" s="98" t="s">
        <v>13</v>
      </c>
      <c r="F63" s="4">
        <v>14</v>
      </c>
      <c r="G63" s="4">
        <v>15</v>
      </c>
      <c r="H63" s="4">
        <v>12</v>
      </c>
      <c r="I63" s="4">
        <v>16</v>
      </c>
      <c r="J63" s="4">
        <v>13</v>
      </c>
      <c r="K63" s="4">
        <v>11</v>
      </c>
      <c r="L63" s="4">
        <v>18</v>
      </c>
      <c r="M63" s="4">
        <v>17</v>
      </c>
      <c r="N63" s="4">
        <v>8</v>
      </c>
      <c r="O63" s="4">
        <v>20</v>
      </c>
      <c r="P63" s="4">
        <v>19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</row>
    <row r="64" spans="4:25" ht="16.149999999999999" thickBot="1" x14ac:dyDescent="0.55000000000000004">
      <c r="D64" s="101"/>
      <c r="E64" s="99"/>
      <c r="F64" s="4">
        <v>9</v>
      </c>
      <c r="G64" s="4">
        <v>7</v>
      </c>
      <c r="H64" s="4">
        <v>10</v>
      </c>
      <c r="I64" s="4">
        <v>6</v>
      </c>
      <c r="J64" s="4">
        <v>5</v>
      </c>
      <c r="K64" s="4">
        <v>4</v>
      </c>
      <c r="L64" s="4">
        <v>3</v>
      </c>
      <c r="M64" s="4">
        <v>2</v>
      </c>
      <c r="N64" s="4">
        <v>1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</row>
    <row r="65" spans="4:25" x14ac:dyDescent="0.5">
      <c r="D65" s="100">
        <f>IF(SUM(F65:K66)&gt;0,D63+1,"")</f>
        <v>29</v>
      </c>
      <c r="E65" s="98" t="s">
        <v>19</v>
      </c>
      <c r="F65" s="4">
        <v>19</v>
      </c>
      <c r="G65" s="4">
        <v>14</v>
      </c>
      <c r="H65" s="4">
        <v>15</v>
      </c>
      <c r="I65" s="4">
        <v>12</v>
      </c>
      <c r="J65" s="4">
        <v>16</v>
      </c>
      <c r="K65" s="4">
        <v>13</v>
      </c>
      <c r="L65" s="4">
        <v>11</v>
      </c>
      <c r="M65" s="4">
        <v>18</v>
      </c>
      <c r="N65" s="4">
        <v>17</v>
      </c>
      <c r="O65" s="4">
        <v>8</v>
      </c>
      <c r="P65" s="4">
        <v>20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</row>
    <row r="66" spans="4:25" ht="16.149999999999999" thickBot="1" x14ac:dyDescent="0.55000000000000004">
      <c r="D66" s="101"/>
      <c r="E66" s="99"/>
      <c r="F66" s="4">
        <v>9</v>
      </c>
      <c r="G66" s="4">
        <v>7</v>
      </c>
      <c r="H66" s="4">
        <v>10</v>
      </c>
      <c r="I66" s="4">
        <v>6</v>
      </c>
      <c r="J66" s="4">
        <v>5</v>
      </c>
      <c r="K66" s="4">
        <v>4</v>
      </c>
      <c r="L66" s="4">
        <v>3</v>
      </c>
      <c r="M66" s="4">
        <v>2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</row>
    <row r="67" spans="4:25" x14ac:dyDescent="0.5">
      <c r="D67" s="100">
        <f>IF(SUM(F67:K68)&gt;0,D65+1,"")</f>
        <v>30</v>
      </c>
      <c r="E67" s="98" t="s">
        <v>19</v>
      </c>
      <c r="F67" s="4">
        <v>20</v>
      </c>
      <c r="G67" s="4">
        <v>19</v>
      </c>
      <c r="H67" s="4">
        <v>14</v>
      </c>
      <c r="I67" s="4">
        <v>15</v>
      </c>
      <c r="J67" s="4">
        <v>12</v>
      </c>
      <c r="K67" s="4">
        <v>16</v>
      </c>
      <c r="L67" s="4">
        <v>13</v>
      </c>
      <c r="M67" s="4">
        <v>11</v>
      </c>
      <c r="N67" s="4">
        <v>18</v>
      </c>
      <c r="O67" s="4">
        <v>17</v>
      </c>
      <c r="P67" s="4">
        <v>8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</row>
    <row r="68" spans="4:25" ht="16.149999999999999" thickBot="1" x14ac:dyDescent="0.55000000000000004">
      <c r="D68" s="101"/>
      <c r="E68" s="99"/>
      <c r="F68" s="4">
        <v>9</v>
      </c>
      <c r="G68" s="4">
        <v>7</v>
      </c>
      <c r="H68" s="4">
        <v>10</v>
      </c>
      <c r="I68" s="4">
        <v>6</v>
      </c>
      <c r="J68" s="4">
        <v>5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</row>
    <row r="69" spans="4:25" x14ac:dyDescent="0.5">
      <c r="D69" s="100">
        <f>IF(SUM(F69:K70)&gt;0,D67+1,"")</f>
        <v>31</v>
      </c>
      <c r="E69" s="98" t="s">
        <v>19</v>
      </c>
      <c r="F69" s="4">
        <v>8</v>
      </c>
      <c r="G69" s="4">
        <v>20</v>
      </c>
      <c r="H69" s="4">
        <v>19</v>
      </c>
      <c r="I69" s="4">
        <v>14</v>
      </c>
      <c r="J69" s="4">
        <v>15</v>
      </c>
      <c r="K69" s="4">
        <v>12</v>
      </c>
      <c r="L69" s="4">
        <v>16</v>
      </c>
      <c r="M69" s="4">
        <v>13</v>
      </c>
      <c r="N69" s="4">
        <v>11</v>
      </c>
      <c r="O69" s="4">
        <v>18</v>
      </c>
      <c r="P69" s="4">
        <v>17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</row>
    <row r="70" spans="4:25" ht="16.149999999999999" thickBot="1" x14ac:dyDescent="0.55000000000000004">
      <c r="D70" s="101"/>
      <c r="E70" s="99"/>
      <c r="F70" s="4">
        <v>9</v>
      </c>
      <c r="G70" s="4">
        <v>7</v>
      </c>
      <c r="H70" s="4">
        <v>10</v>
      </c>
      <c r="I70" s="4">
        <v>6</v>
      </c>
      <c r="J70" s="4">
        <v>5</v>
      </c>
      <c r="K70" s="4">
        <v>4</v>
      </c>
      <c r="L70" s="4">
        <v>3</v>
      </c>
      <c r="M70" s="4">
        <v>2</v>
      </c>
      <c r="N70" s="4">
        <v>1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</row>
    <row r="71" spans="4:25" x14ac:dyDescent="0.5">
      <c r="D71" s="100">
        <f>IF(SUM(F71:K72)&gt;0,D69+1,"")</f>
        <v>32</v>
      </c>
      <c r="E71" s="98" t="s">
        <v>13</v>
      </c>
      <c r="F71" s="4">
        <v>20</v>
      </c>
      <c r="G71" s="4">
        <v>19</v>
      </c>
      <c r="H71" s="4">
        <v>14</v>
      </c>
      <c r="I71" s="4">
        <v>15</v>
      </c>
      <c r="J71" s="4">
        <v>12</v>
      </c>
      <c r="K71" s="4">
        <v>16</v>
      </c>
      <c r="L71" s="4">
        <v>13</v>
      </c>
      <c r="M71" s="4">
        <v>11</v>
      </c>
      <c r="N71" s="4">
        <v>18</v>
      </c>
      <c r="O71" s="4">
        <v>17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</row>
    <row r="72" spans="4:25" ht="16.149999999999999" thickBot="1" x14ac:dyDescent="0.55000000000000004">
      <c r="D72" s="101"/>
      <c r="E72" s="99"/>
      <c r="F72" s="4">
        <v>8</v>
      </c>
      <c r="G72" s="4">
        <v>9</v>
      </c>
      <c r="H72" s="4">
        <v>7</v>
      </c>
      <c r="I72" s="4">
        <v>10</v>
      </c>
      <c r="J72" s="4">
        <v>6</v>
      </c>
      <c r="K72" s="4">
        <v>5</v>
      </c>
      <c r="L72" s="4">
        <v>4</v>
      </c>
      <c r="M72" s="4">
        <v>3</v>
      </c>
      <c r="N72" s="4">
        <v>2</v>
      </c>
      <c r="O72" s="4">
        <v>1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</row>
    <row r="73" spans="4:25" x14ac:dyDescent="0.5">
      <c r="D73" s="100">
        <f>IF(SUM(F73:K74)&gt;0,D71+1,"")</f>
        <v>33</v>
      </c>
      <c r="E73" s="98" t="s">
        <v>14</v>
      </c>
      <c r="F73" s="4">
        <v>20</v>
      </c>
      <c r="G73" s="4">
        <v>19</v>
      </c>
      <c r="H73" s="4">
        <v>14</v>
      </c>
      <c r="I73" s="4">
        <v>15</v>
      </c>
      <c r="J73" s="4">
        <v>12</v>
      </c>
      <c r="K73" s="4">
        <v>16</v>
      </c>
      <c r="L73" s="4">
        <v>13</v>
      </c>
      <c r="M73" s="4">
        <v>11</v>
      </c>
      <c r="N73" s="4">
        <v>18</v>
      </c>
      <c r="O73" s="4">
        <v>17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</row>
    <row r="74" spans="4:25" ht="16.149999999999999" thickBot="1" x14ac:dyDescent="0.55000000000000004">
      <c r="D74" s="101"/>
      <c r="E74" s="99"/>
      <c r="F74" s="4">
        <v>9</v>
      </c>
      <c r="G74" s="4">
        <v>7</v>
      </c>
      <c r="H74" s="4">
        <v>10</v>
      </c>
      <c r="I74" s="4">
        <v>6</v>
      </c>
      <c r="J74" s="4">
        <v>5</v>
      </c>
      <c r="K74" s="4">
        <v>4</v>
      </c>
      <c r="L74" s="4">
        <v>3</v>
      </c>
      <c r="M74" s="4">
        <v>2</v>
      </c>
      <c r="N74" s="4">
        <v>1</v>
      </c>
      <c r="O74" s="4">
        <v>8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</row>
    <row r="75" spans="4:25" x14ac:dyDescent="0.5">
      <c r="D75" s="100">
        <f>IF(SUM(F75:K76)&gt;0,D73+1,"")</f>
        <v>34</v>
      </c>
      <c r="E75" s="98" t="s">
        <v>14</v>
      </c>
      <c r="F75" s="4">
        <v>20</v>
      </c>
      <c r="G75" s="4">
        <v>19</v>
      </c>
      <c r="H75" s="4">
        <v>14</v>
      </c>
      <c r="I75" s="4">
        <v>15</v>
      </c>
      <c r="J75" s="4">
        <v>12</v>
      </c>
      <c r="K75" s="4">
        <v>16</v>
      </c>
      <c r="L75" s="4">
        <v>13</v>
      </c>
      <c r="M75" s="4">
        <v>11</v>
      </c>
      <c r="N75" s="4">
        <v>18</v>
      </c>
      <c r="O75" s="4">
        <v>17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</row>
    <row r="76" spans="4:25" ht="16.149999999999999" thickBot="1" x14ac:dyDescent="0.55000000000000004">
      <c r="D76" s="101"/>
      <c r="E76" s="99"/>
      <c r="F76" s="4">
        <v>7</v>
      </c>
      <c r="G76" s="4">
        <v>10</v>
      </c>
      <c r="H76" s="4">
        <v>6</v>
      </c>
      <c r="I76" s="4">
        <v>5</v>
      </c>
      <c r="J76" s="4">
        <v>4</v>
      </c>
      <c r="K76" s="4">
        <v>3</v>
      </c>
      <c r="L76" s="4">
        <v>2</v>
      </c>
      <c r="M76" s="4">
        <v>1</v>
      </c>
      <c r="N76" s="4">
        <v>8</v>
      </c>
      <c r="O76" s="4">
        <v>9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</row>
    <row r="77" spans="4:25" x14ac:dyDescent="0.5">
      <c r="D77" s="100">
        <f>IF(SUM(F77:K78)&gt;0,D75+1,"")</f>
        <v>35</v>
      </c>
      <c r="E77" s="98" t="s">
        <v>14</v>
      </c>
      <c r="F77" s="4">
        <v>20</v>
      </c>
      <c r="G77" s="4">
        <v>19</v>
      </c>
      <c r="H77" s="4">
        <v>14</v>
      </c>
      <c r="I77" s="4">
        <v>15</v>
      </c>
      <c r="J77" s="4">
        <v>12</v>
      </c>
      <c r="K77" s="4">
        <v>16</v>
      </c>
      <c r="L77" s="4">
        <v>13</v>
      </c>
      <c r="M77" s="4">
        <v>11</v>
      </c>
      <c r="N77" s="4">
        <v>18</v>
      </c>
      <c r="O77" s="4">
        <v>17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</row>
    <row r="78" spans="4:25" ht="16.149999999999999" thickBot="1" x14ac:dyDescent="0.55000000000000004">
      <c r="D78" s="101"/>
      <c r="E78" s="99"/>
      <c r="F78" s="4">
        <v>10</v>
      </c>
      <c r="G78" s="4">
        <v>6</v>
      </c>
      <c r="H78" s="4">
        <v>5</v>
      </c>
      <c r="I78" s="4">
        <v>4</v>
      </c>
      <c r="J78" s="4">
        <v>3</v>
      </c>
      <c r="K78" s="4">
        <v>2</v>
      </c>
      <c r="L78" s="4">
        <v>1</v>
      </c>
      <c r="M78" s="4">
        <v>8</v>
      </c>
      <c r="N78" s="4">
        <v>9</v>
      </c>
      <c r="O78" s="4">
        <v>7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</row>
    <row r="79" spans="4:25" x14ac:dyDescent="0.5">
      <c r="D79" s="100">
        <f>IF(SUM(F79:K80)&gt;0,D77+1,"")</f>
        <v>36</v>
      </c>
      <c r="E79" s="98" t="s">
        <v>15</v>
      </c>
      <c r="F79" s="4">
        <v>10</v>
      </c>
      <c r="G79" s="4">
        <v>20</v>
      </c>
      <c r="H79" s="4">
        <v>19</v>
      </c>
      <c r="I79" s="4">
        <v>14</v>
      </c>
      <c r="J79" s="4">
        <v>15</v>
      </c>
      <c r="K79" s="4">
        <v>12</v>
      </c>
      <c r="L79" s="4">
        <v>16</v>
      </c>
      <c r="M79" s="4">
        <v>13</v>
      </c>
      <c r="N79" s="4">
        <v>11</v>
      </c>
      <c r="O79" s="4">
        <v>18</v>
      </c>
      <c r="P79" s="4">
        <v>17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</row>
    <row r="80" spans="4:25" ht="16.149999999999999" thickBot="1" x14ac:dyDescent="0.55000000000000004">
      <c r="D80" s="101"/>
      <c r="E80" s="99"/>
      <c r="F80" s="4">
        <v>6</v>
      </c>
      <c r="G80" s="4">
        <v>5</v>
      </c>
      <c r="H80" s="4">
        <v>4</v>
      </c>
      <c r="I80" s="4">
        <v>3</v>
      </c>
      <c r="J80" s="4">
        <v>2</v>
      </c>
      <c r="K80" s="4">
        <v>1</v>
      </c>
      <c r="L80" s="4">
        <v>8</v>
      </c>
      <c r="M80" s="4">
        <v>9</v>
      </c>
      <c r="N80" s="4">
        <v>7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</row>
    <row r="81" spans="4:25" x14ac:dyDescent="0.5">
      <c r="D81" s="100">
        <f>IF(SUM(F81:K82)&gt;0,D79+1,"")</f>
        <v>37</v>
      </c>
      <c r="E81" s="98" t="s">
        <v>16</v>
      </c>
      <c r="F81" s="4">
        <v>10</v>
      </c>
      <c r="G81" s="4">
        <v>20</v>
      </c>
      <c r="H81" s="4">
        <v>19</v>
      </c>
      <c r="I81" s="4">
        <v>14</v>
      </c>
      <c r="J81" s="4">
        <v>15</v>
      </c>
      <c r="K81" s="4">
        <v>12</v>
      </c>
      <c r="L81" s="4">
        <v>16</v>
      </c>
      <c r="M81" s="4">
        <v>13</v>
      </c>
      <c r="N81" s="4">
        <v>11</v>
      </c>
      <c r="O81" s="4">
        <v>18</v>
      </c>
      <c r="P81" s="4">
        <v>17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</row>
    <row r="82" spans="4:25" ht="16.149999999999999" thickBot="1" x14ac:dyDescent="0.55000000000000004">
      <c r="D82" s="101"/>
      <c r="E82" s="99"/>
      <c r="F82" s="4">
        <v>7</v>
      </c>
      <c r="G82" s="4">
        <v>6</v>
      </c>
      <c r="H82" s="4">
        <v>5</v>
      </c>
      <c r="I82" s="4">
        <v>4</v>
      </c>
      <c r="J82" s="4">
        <v>3</v>
      </c>
      <c r="K82" s="4">
        <v>2</v>
      </c>
      <c r="L82" s="4">
        <v>1</v>
      </c>
      <c r="M82" s="4">
        <v>8</v>
      </c>
      <c r="N82" s="4">
        <v>9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</row>
    <row r="83" spans="4:25" x14ac:dyDescent="0.5">
      <c r="D83" s="100">
        <f>IF(SUM(F83:K84)&gt;0,D81+1,"")</f>
        <v>38</v>
      </c>
      <c r="E83" s="98" t="s">
        <v>16</v>
      </c>
      <c r="F83" s="4">
        <v>10</v>
      </c>
      <c r="G83" s="4">
        <v>20</v>
      </c>
      <c r="H83" s="4">
        <v>19</v>
      </c>
      <c r="I83" s="4">
        <v>14</v>
      </c>
      <c r="J83" s="4">
        <v>15</v>
      </c>
      <c r="K83" s="4">
        <v>12</v>
      </c>
      <c r="L83" s="4">
        <v>16</v>
      </c>
      <c r="M83" s="4">
        <v>13</v>
      </c>
      <c r="N83" s="4">
        <v>11</v>
      </c>
      <c r="O83" s="4">
        <v>18</v>
      </c>
      <c r="P83" s="4">
        <v>17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</row>
    <row r="84" spans="4:25" ht="16.149999999999999" thickBot="1" x14ac:dyDescent="0.55000000000000004">
      <c r="D84" s="101"/>
      <c r="E84" s="99"/>
      <c r="F84" s="4">
        <v>9</v>
      </c>
      <c r="G84" s="4">
        <v>7</v>
      </c>
      <c r="H84" s="4">
        <v>6</v>
      </c>
      <c r="I84" s="4">
        <v>5</v>
      </c>
      <c r="J84" s="4">
        <v>4</v>
      </c>
      <c r="K84" s="4">
        <v>3</v>
      </c>
      <c r="L84" s="4">
        <v>2</v>
      </c>
      <c r="M84" s="4">
        <v>1</v>
      </c>
      <c r="N84" s="4">
        <v>8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</row>
    <row r="85" spans="4:25" x14ac:dyDescent="0.5">
      <c r="D85" s="100">
        <f>IF(SUM(F85:K86)&gt;0,D83+1,"")</f>
        <v>39</v>
      </c>
      <c r="E85" s="98" t="s">
        <v>15</v>
      </c>
      <c r="F85" s="4">
        <v>9</v>
      </c>
      <c r="G85" s="4">
        <v>10</v>
      </c>
      <c r="H85" s="4">
        <v>20</v>
      </c>
      <c r="I85" s="4">
        <v>19</v>
      </c>
      <c r="J85" s="4">
        <v>14</v>
      </c>
      <c r="K85" s="4">
        <v>15</v>
      </c>
      <c r="L85" s="4">
        <v>12</v>
      </c>
      <c r="M85" s="4">
        <v>16</v>
      </c>
      <c r="N85" s="4">
        <v>13</v>
      </c>
      <c r="O85" s="4">
        <v>11</v>
      </c>
      <c r="P85" s="4">
        <v>18</v>
      </c>
      <c r="Q85" s="4">
        <v>17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</row>
    <row r="86" spans="4:25" ht="16.149999999999999" thickBot="1" x14ac:dyDescent="0.55000000000000004">
      <c r="D86" s="101"/>
      <c r="E86" s="99"/>
      <c r="F86" s="4">
        <v>7</v>
      </c>
      <c r="G86" s="4">
        <v>6</v>
      </c>
      <c r="H86" s="4">
        <v>5</v>
      </c>
      <c r="I86" s="4">
        <v>4</v>
      </c>
      <c r="J86" s="4">
        <v>3</v>
      </c>
      <c r="K86" s="4">
        <v>2</v>
      </c>
      <c r="L86" s="4">
        <v>1</v>
      </c>
      <c r="M86" s="4">
        <v>8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</row>
    <row r="87" spans="4:25" x14ac:dyDescent="0.5">
      <c r="D87" s="100">
        <f>IF(SUM(F87:K88)&gt;0,D85+1,"")</f>
        <v>40</v>
      </c>
      <c r="E87" s="98" t="s">
        <v>16</v>
      </c>
      <c r="F87" s="4">
        <v>9</v>
      </c>
      <c r="G87" s="4">
        <v>10</v>
      </c>
      <c r="H87" s="4">
        <v>20</v>
      </c>
      <c r="I87" s="4">
        <v>19</v>
      </c>
      <c r="J87" s="4">
        <v>14</v>
      </c>
      <c r="K87" s="4">
        <v>15</v>
      </c>
      <c r="L87" s="4">
        <v>12</v>
      </c>
      <c r="M87" s="4">
        <v>16</v>
      </c>
      <c r="N87" s="4">
        <v>13</v>
      </c>
      <c r="O87" s="4">
        <v>11</v>
      </c>
      <c r="P87" s="4">
        <v>18</v>
      </c>
      <c r="Q87" s="4">
        <v>17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</row>
    <row r="88" spans="4:25" ht="16.149999999999999" thickBot="1" x14ac:dyDescent="0.55000000000000004">
      <c r="D88" s="101"/>
      <c r="E88" s="99"/>
      <c r="F88" s="4">
        <v>8</v>
      </c>
      <c r="G88" s="4">
        <v>7</v>
      </c>
      <c r="H88" s="4">
        <v>6</v>
      </c>
      <c r="I88" s="4">
        <v>5</v>
      </c>
      <c r="J88" s="4">
        <v>4</v>
      </c>
      <c r="K88" s="4">
        <v>3</v>
      </c>
      <c r="L88" s="4">
        <v>2</v>
      </c>
      <c r="M88" s="4">
        <v>1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</row>
    <row r="89" spans="4:25" x14ac:dyDescent="0.5">
      <c r="D89" s="100">
        <f>IF(SUM(F89:K90)&gt;0,D87+1,"")</f>
        <v>41</v>
      </c>
      <c r="E89" s="98" t="s">
        <v>13</v>
      </c>
      <c r="F89" s="4">
        <v>10</v>
      </c>
      <c r="G89" s="4">
        <v>20</v>
      </c>
      <c r="H89" s="4">
        <v>19</v>
      </c>
      <c r="I89" s="4">
        <v>14</v>
      </c>
      <c r="J89" s="4">
        <v>15</v>
      </c>
      <c r="K89" s="4">
        <v>12</v>
      </c>
      <c r="L89" s="4">
        <v>16</v>
      </c>
      <c r="M89" s="4">
        <v>13</v>
      </c>
      <c r="N89" s="4">
        <v>11</v>
      </c>
      <c r="O89" s="4">
        <v>18</v>
      </c>
      <c r="P89" s="4">
        <v>17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</row>
    <row r="90" spans="4:25" ht="16.149999999999999" thickBot="1" x14ac:dyDescent="0.55000000000000004">
      <c r="D90" s="101"/>
      <c r="E90" s="99"/>
      <c r="F90" s="4">
        <v>9</v>
      </c>
      <c r="G90" s="4">
        <v>8</v>
      </c>
      <c r="H90" s="4">
        <v>7</v>
      </c>
      <c r="I90" s="4">
        <v>6</v>
      </c>
      <c r="J90" s="4">
        <v>5</v>
      </c>
      <c r="K90" s="4">
        <v>4</v>
      </c>
      <c r="L90" s="4">
        <v>3</v>
      </c>
      <c r="M90" s="4">
        <v>2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</row>
    <row r="91" spans="4:25" x14ac:dyDescent="0.5">
      <c r="D91" s="100">
        <f>IF(SUM(F91:K92)&gt;0,D89+1,"")</f>
        <v>42</v>
      </c>
      <c r="E91" s="98" t="s">
        <v>13</v>
      </c>
      <c r="F91" s="4">
        <v>20</v>
      </c>
      <c r="G91" s="4">
        <v>19</v>
      </c>
      <c r="H91" s="4">
        <v>14</v>
      </c>
      <c r="I91" s="4">
        <v>15</v>
      </c>
      <c r="J91" s="4">
        <v>12</v>
      </c>
      <c r="K91" s="4">
        <v>16</v>
      </c>
      <c r="L91" s="4">
        <v>13</v>
      </c>
      <c r="M91" s="4">
        <v>11</v>
      </c>
      <c r="N91" s="4">
        <v>18</v>
      </c>
      <c r="O91" s="4">
        <v>17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</row>
    <row r="92" spans="4:25" ht="16.149999999999999" thickBot="1" x14ac:dyDescent="0.55000000000000004">
      <c r="D92" s="101"/>
      <c r="E92" s="99"/>
      <c r="F92" s="4">
        <v>10</v>
      </c>
      <c r="G92" s="4">
        <v>9</v>
      </c>
      <c r="H92" s="4">
        <v>8</v>
      </c>
      <c r="I92" s="4">
        <v>7</v>
      </c>
      <c r="J92" s="4">
        <v>6</v>
      </c>
      <c r="K92" s="4">
        <v>5</v>
      </c>
      <c r="L92" s="4">
        <v>4</v>
      </c>
      <c r="M92" s="4">
        <v>3</v>
      </c>
      <c r="N92" s="4">
        <v>2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</row>
    <row r="93" spans="4:25" x14ac:dyDescent="0.5">
      <c r="D93" s="100">
        <f>IF(SUM(F93:K94)&gt;0,D91+1,"")</f>
        <v>43</v>
      </c>
      <c r="E93" s="98" t="s">
        <v>12</v>
      </c>
      <c r="F93" s="4">
        <v>19</v>
      </c>
      <c r="G93" s="4">
        <v>14</v>
      </c>
      <c r="H93" s="4">
        <v>15</v>
      </c>
      <c r="I93" s="4">
        <v>12</v>
      </c>
      <c r="J93" s="4">
        <v>16</v>
      </c>
      <c r="K93" s="4">
        <v>13</v>
      </c>
      <c r="L93" s="4">
        <v>11</v>
      </c>
      <c r="M93" s="4">
        <v>18</v>
      </c>
      <c r="N93" s="4">
        <v>17</v>
      </c>
      <c r="O93" s="4">
        <v>20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</row>
    <row r="94" spans="4:25" ht="16.149999999999999" thickBot="1" x14ac:dyDescent="0.55000000000000004">
      <c r="D94" s="101"/>
      <c r="E94" s="99"/>
      <c r="F94" s="4">
        <v>10</v>
      </c>
      <c r="G94" s="4">
        <v>9</v>
      </c>
      <c r="H94" s="4">
        <v>8</v>
      </c>
      <c r="I94" s="4">
        <v>7</v>
      </c>
      <c r="J94" s="4">
        <v>6</v>
      </c>
      <c r="K94" s="4">
        <v>5</v>
      </c>
      <c r="L94" s="4">
        <v>4</v>
      </c>
      <c r="M94" s="4">
        <v>3</v>
      </c>
      <c r="N94" s="4">
        <v>2</v>
      </c>
      <c r="O94" s="4">
        <v>1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</row>
    <row r="95" spans="4:25" x14ac:dyDescent="0.5">
      <c r="D95" s="100">
        <f>IF(SUM(F95:K96)&gt;0,D93+1,"")</f>
        <v>44</v>
      </c>
      <c r="E95" s="98" t="s">
        <v>12</v>
      </c>
      <c r="F95" s="4">
        <v>14</v>
      </c>
      <c r="G95" s="4">
        <v>15</v>
      </c>
      <c r="H95" s="4">
        <v>12</v>
      </c>
      <c r="I95" s="4">
        <v>16</v>
      </c>
      <c r="J95" s="4">
        <v>13</v>
      </c>
      <c r="K95" s="4">
        <v>11</v>
      </c>
      <c r="L95" s="4">
        <v>18</v>
      </c>
      <c r="M95" s="4">
        <v>17</v>
      </c>
      <c r="N95" s="4">
        <v>20</v>
      </c>
      <c r="O95" s="4">
        <v>19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</row>
    <row r="96" spans="4:25" ht="16.149999999999999" thickBot="1" x14ac:dyDescent="0.55000000000000004">
      <c r="D96" s="101"/>
      <c r="E96" s="99"/>
      <c r="F96" s="4">
        <v>10</v>
      </c>
      <c r="G96" s="4">
        <v>9</v>
      </c>
      <c r="H96" s="4">
        <v>8</v>
      </c>
      <c r="I96" s="4">
        <v>7</v>
      </c>
      <c r="J96" s="4">
        <v>6</v>
      </c>
      <c r="K96" s="4">
        <v>5</v>
      </c>
      <c r="L96" s="4">
        <v>4</v>
      </c>
      <c r="M96" s="4">
        <v>3</v>
      </c>
      <c r="N96" s="4">
        <v>2</v>
      </c>
      <c r="O96" s="4">
        <v>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</row>
    <row r="97" spans="4:25" x14ac:dyDescent="0.5">
      <c r="D97" s="100">
        <f>IF(SUM(F97:K98)&gt;0,D95+1,"")</f>
        <v>45</v>
      </c>
      <c r="E97" s="98" t="s">
        <v>13</v>
      </c>
      <c r="F97" s="4">
        <v>15</v>
      </c>
      <c r="G97" s="4">
        <v>12</v>
      </c>
      <c r="H97" s="4">
        <v>16</v>
      </c>
      <c r="I97" s="4">
        <v>13</v>
      </c>
      <c r="J97" s="4">
        <v>11</v>
      </c>
      <c r="K97" s="4">
        <v>18</v>
      </c>
      <c r="L97" s="4">
        <v>17</v>
      </c>
      <c r="M97" s="4">
        <v>20</v>
      </c>
      <c r="N97" s="4">
        <v>19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</row>
    <row r="98" spans="4:25" ht="16.149999999999999" thickBot="1" x14ac:dyDescent="0.55000000000000004">
      <c r="D98" s="101"/>
      <c r="E98" s="99"/>
      <c r="F98" s="4">
        <v>14</v>
      </c>
      <c r="G98" s="4">
        <v>10</v>
      </c>
      <c r="H98" s="4">
        <v>9</v>
      </c>
      <c r="I98" s="4">
        <v>8</v>
      </c>
      <c r="J98" s="4">
        <v>7</v>
      </c>
      <c r="K98" s="4">
        <v>6</v>
      </c>
      <c r="L98" s="4">
        <v>5</v>
      </c>
      <c r="M98" s="4">
        <v>4</v>
      </c>
      <c r="N98" s="4">
        <v>3</v>
      </c>
      <c r="O98" s="4">
        <v>2</v>
      </c>
      <c r="P98" s="4">
        <v>1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</row>
    <row r="99" spans="4:25" x14ac:dyDescent="0.5">
      <c r="D99" s="100">
        <f>IF(SUM(F99:K100)&gt;0,D97+1,"")</f>
        <v>46</v>
      </c>
      <c r="E99" s="98" t="s">
        <v>13</v>
      </c>
      <c r="F99" s="4">
        <v>12</v>
      </c>
      <c r="G99" s="4">
        <v>16</v>
      </c>
      <c r="H99" s="4">
        <v>13</v>
      </c>
      <c r="I99" s="4">
        <v>11</v>
      </c>
      <c r="J99" s="4">
        <v>18</v>
      </c>
      <c r="K99" s="4">
        <v>17</v>
      </c>
      <c r="L99" s="4">
        <v>20</v>
      </c>
      <c r="M99" s="4">
        <v>19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</row>
    <row r="100" spans="4:25" ht="16.149999999999999" thickBot="1" x14ac:dyDescent="0.55000000000000004">
      <c r="D100" s="101"/>
      <c r="E100" s="99"/>
      <c r="F100" s="4">
        <v>15</v>
      </c>
      <c r="G100" s="4">
        <v>14</v>
      </c>
      <c r="H100" s="4">
        <v>10</v>
      </c>
      <c r="I100" s="4">
        <v>9</v>
      </c>
      <c r="J100" s="4">
        <v>8</v>
      </c>
      <c r="K100" s="4">
        <v>7</v>
      </c>
      <c r="L100" s="4">
        <v>6</v>
      </c>
      <c r="M100" s="4">
        <v>5</v>
      </c>
      <c r="N100" s="4">
        <v>4</v>
      </c>
      <c r="O100" s="4">
        <v>3</v>
      </c>
      <c r="P100" s="4">
        <v>2</v>
      </c>
      <c r="Q100" s="4">
        <v>1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</row>
    <row r="101" spans="4:25" x14ac:dyDescent="0.5">
      <c r="D101" s="100">
        <f>IF(SUM(F101:K102)&gt;0,D99+1,"")</f>
        <v>47</v>
      </c>
      <c r="E101" s="98" t="s">
        <v>13</v>
      </c>
      <c r="F101" s="4">
        <v>16</v>
      </c>
      <c r="G101" s="4">
        <v>13</v>
      </c>
      <c r="H101" s="4">
        <v>11</v>
      </c>
      <c r="I101" s="4">
        <v>18</v>
      </c>
      <c r="J101" s="4">
        <v>17</v>
      </c>
      <c r="K101" s="4">
        <v>20</v>
      </c>
      <c r="L101" s="4">
        <v>19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</row>
    <row r="102" spans="4:25" ht="16.149999999999999" thickBot="1" x14ac:dyDescent="0.55000000000000004">
      <c r="D102" s="101"/>
      <c r="E102" s="99"/>
      <c r="F102" s="4">
        <v>12</v>
      </c>
      <c r="G102" s="4">
        <v>15</v>
      </c>
      <c r="H102" s="4">
        <v>14</v>
      </c>
      <c r="I102" s="4">
        <v>10</v>
      </c>
      <c r="J102" s="4">
        <v>9</v>
      </c>
      <c r="K102" s="4">
        <v>8</v>
      </c>
      <c r="L102" s="4">
        <v>7</v>
      </c>
      <c r="M102" s="4">
        <v>6</v>
      </c>
      <c r="N102" s="4">
        <v>5</v>
      </c>
      <c r="O102" s="4">
        <v>4</v>
      </c>
      <c r="P102" s="4">
        <v>3</v>
      </c>
      <c r="Q102" s="4">
        <v>2</v>
      </c>
      <c r="R102" s="4">
        <v>1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</row>
    <row r="103" spans="4:25" x14ac:dyDescent="0.5">
      <c r="D103" s="100">
        <f>IF(SUM(F103:K104)&gt;0,D101+1,"")</f>
        <v>48</v>
      </c>
      <c r="E103" s="98" t="s">
        <v>12</v>
      </c>
      <c r="F103" s="4">
        <v>13</v>
      </c>
      <c r="G103" s="4">
        <v>11</v>
      </c>
      <c r="H103" s="4">
        <v>18</v>
      </c>
      <c r="I103" s="4">
        <v>17</v>
      </c>
      <c r="J103" s="4">
        <v>20</v>
      </c>
      <c r="K103" s="4">
        <v>19</v>
      </c>
      <c r="L103" s="4">
        <v>16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</row>
    <row r="104" spans="4:25" ht="16.149999999999999" thickBot="1" x14ac:dyDescent="0.55000000000000004">
      <c r="D104" s="101"/>
      <c r="E104" s="99"/>
      <c r="F104" s="4">
        <v>12</v>
      </c>
      <c r="G104" s="4">
        <v>15</v>
      </c>
      <c r="H104" s="4">
        <v>14</v>
      </c>
      <c r="I104" s="4">
        <v>10</v>
      </c>
      <c r="J104" s="4">
        <v>9</v>
      </c>
      <c r="K104" s="4">
        <v>8</v>
      </c>
      <c r="L104" s="4">
        <v>7</v>
      </c>
      <c r="M104" s="4">
        <v>6</v>
      </c>
      <c r="N104" s="4">
        <v>5</v>
      </c>
      <c r="O104" s="4">
        <v>4</v>
      </c>
      <c r="P104" s="4">
        <v>3</v>
      </c>
      <c r="Q104" s="4">
        <v>2</v>
      </c>
      <c r="R104" s="4">
        <v>1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</row>
    <row r="105" spans="4:25" x14ac:dyDescent="0.5">
      <c r="D105" s="100">
        <f>IF(SUM(F105:K106)&gt;0,D103+1,"")</f>
        <v>49</v>
      </c>
      <c r="E105" s="98" t="s">
        <v>13</v>
      </c>
      <c r="F105" s="4">
        <v>11</v>
      </c>
      <c r="G105" s="4">
        <v>18</v>
      </c>
      <c r="H105" s="4">
        <v>17</v>
      </c>
      <c r="I105" s="4">
        <v>20</v>
      </c>
      <c r="J105" s="4">
        <v>19</v>
      </c>
      <c r="K105" s="4">
        <v>16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</row>
    <row r="106" spans="4:25" ht="16.149999999999999" thickBot="1" x14ac:dyDescent="0.55000000000000004">
      <c r="D106" s="101"/>
      <c r="E106" s="99"/>
      <c r="F106" s="4">
        <v>13</v>
      </c>
      <c r="G106" s="4">
        <v>12</v>
      </c>
      <c r="H106" s="4">
        <v>15</v>
      </c>
      <c r="I106" s="4">
        <v>14</v>
      </c>
      <c r="J106" s="4">
        <v>10</v>
      </c>
      <c r="K106" s="4">
        <v>9</v>
      </c>
      <c r="L106" s="4">
        <v>8</v>
      </c>
      <c r="M106" s="4">
        <v>7</v>
      </c>
      <c r="N106" s="4">
        <v>6</v>
      </c>
      <c r="O106" s="4">
        <v>5</v>
      </c>
      <c r="P106" s="4">
        <v>4</v>
      </c>
      <c r="Q106" s="4">
        <v>3</v>
      </c>
      <c r="R106" s="4">
        <v>2</v>
      </c>
      <c r="S106" s="4">
        <v>1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</row>
    <row r="107" spans="4:25" x14ac:dyDescent="0.5">
      <c r="D107" s="100">
        <f>IF(SUM(F107:K108)&gt;0,D105+1,"")</f>
        <v>50</v>
      </c>
      <c r="E107" s="98" t="s">
        <v>13</v>
      </c>
      <c r="F107" s="4">
        <v>18</v>
      </c>
      <c r="G107" s="4">
        <v>17</v>
      </c>
      <c r="H107" s="4">
        <v>20</v>
      </c>
      <c r="I107" s="4">
        <v>19</v>
      </c>
      <c r="J107" s="4">
        <v>16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</row>
    <row r="108" spans="4:25" ht="16.149999999999999" thickBot="1" x14ac:dyDescent="0.55000000000000004">
      <c r="D108" s="101"/>
      <c r="E108" s="99"/>
      <c r="F108" s="4">
        <v>11</v>
      </c>
      <c r="G108" s="4">
        <v>13</v>
      </c>
      <c r="H108" s="4">
        <v>12</v>
      </c>
      <c r="I108" s="4">
        <v>15</v>
      </c>
      <c r="J108" s="4">
        <v>14</v>
      </c>
      <c r="K108" s="4">
        <v>10</v>
      </c>
      <c r="L108" s="4">
        <v>9</v>
      </c>
      <c r="M108" s="4">
        <v>8</v>
      </c>
      <c r="N108" s="4">
        <v>7</v>
      </c>
      <c r="O108" s="4">
        <v>6</v>
      </c>
      <c r="P108" s="4">
        <v>5</v>
      </c>
      <c r="Q108" s="4">
        <v>4</v>
      </c>
      <c r="R108" s="4">
        <v>3</v>
      </c>
      <c r="S108" s="4">
        <v>2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</row>
    <row r="109" spans="4:25" x14ac:dyDescent="0.5">
      <c r="D109" s="100">
        <f>IF(SUM(F109:K110)&gt;0,D107+1,"")</f>
        <v>51</v>
      </c>
      <c r="E109" s="98" t="s">
        <v>14</v>
      </c>
      <c r="F109" s="4">
        <v>18</v>
      </c>
      <c r="G109" s="4">
        <v>17</v>
      </c>
      <c r="H109" s="4">
        <v>20</v>
      </c>
      <c r="I109" s="4">
        <v>19</v>
      </c>
      <c r="J109" s="4">
        <v>16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</row>
    <row r="110" spans="4:25" ht="16.149999999999999" thickBot="1" x14ac:dyDescent="0.55000000000000004">
      <c r="D110" s="101"/>
      <c r="E110" s="99"/>
      <c r="F110" s="4">
        <v>13</v>
      </c>
      <c r="G110" s="4">
        <v>12</v>
      </c>
      <c r="H110" s="4">
        <v>15</v>
      </c>
      <c r="I110" s="4">
        <v>14</v>
      </c>
      <c r="J110" s="4">
        <v>10</v>
      </c>
      <c r="K110" s="4">
        <v>9</v>
      </c>
      <c r="L110" s="4">
        <v>8</v>
      </c>
      <c r="M110" s="4">
        <v>7</v>
      </c>
      <c r="N110" s="4">
        <v>6</v>
      </c>
      <c r="O110" s="4">
        <v>5</v>
      </c>
      <c r="P110" s="4">
        <v>4</v>
      </c>
      <c r="Q110" s="4">
        <v>3</v>
      </c>
      <c r="R110" s="4">
        <v>2</v>
      </c>
      <c r="S110" s="4">
        <v>1</v>
      </c>
      <c r="T110" s="4">
        <v>11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</row>
    <row r="111" spans="4:25" x14ac:dyDescent="0.5">
      <c r="D111" s="100">
        <f>IF(SUM(F111:K112)&gt;0,D109+1,"")</f>
        <v>52</v>
      </c>
      <c r="E111" s="98" t="s">
        <v>14</v>
      </c>
      <c r="F111" s="4">
        <v>18</v>
      </c>
      <c r="G111" s="4">
        <v>17</v>
      </c>
      <c r="H111" s="4">
        <v>20</v>
      </c>
      <c r="I111" s="4">
        <v>19</v>
      </c>
      <c r="J111" s="4">
        <v>16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</row>
    <row r="112" spans="4:25" ht="16.149999999999999" thickBot="1" x14ac:dyDescent="0.55000000000000004">
      <c r="D112" s="101"/>
      <c r="E112" s="99"/>
      <c r="F112" s="4">
        <v>12</v>
      </c>
      <c r="G112" s="4">
        <v>15</v>
      </c>
      <c r="H112" s="4">
        <v>14</v>
      </c>
      <c r="I112" s="4">
        <v>10</v>
      </c>
      <c r="J112" s="4">
        <v>9</v>
      </c>
      <c r="K112" s="4">
        <v>8</v>
      </c>
      <c r="L112" s="4">
        <v>7</v>
      </c>
      <c r="M112" s="4">
        <v>6</v>
      </c>
      <c r="N112" s="4">
        <v>5</v>
      </c>
      <c r="O112" s="4">
        <v>4</v>
      </c>
      <c r="P112" s="4">
        <v>3</v>
      </c>
      <c r="Q112" s="4">
        <v>2</v>
      </c>
      <c r="R112" s="4">
        <v>1</v>
      </c>
      <c r="S112" s="4">
        <v>11</v>
      </c>
      <c r="T112" s="4">
        <v>13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</row>
    <row r="113" spans="4:25" x14ac:dyDescent="0.5">
      <c r="D113" s="100">
        <f>IF(SUM(F113:K114)&gt;0,D111+1,"")</f>
        <v>53</v>
      </c>
      <c r="E113" s="98" t="s">
        <v>14</v>
      </c>
      <c r="F113" s="4">
        <v>18</v>
      </c>
      <c r="G113" s="4">
        <v>17</v>
      </c>
      <c r="H113" s="4">
        <v>20</v>
      </c>
      <c r="I113" s="4">
        <v>19</v>
      </c>
      <c r="J113" s="4">
        <v>16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</row>
    <row r="114" spans="4:25" ht="16.149999999999999" thickBot="1" x14ac:dyDescent="0.55000000000000004">
      <c r="D114" s="101"/>
      <c r="E114" s="99"/>
      <c r="F114" s="4">
        <v>15</v>
      </c>
      <c r="G114" s="4">
        <v>14</v>
      </c>
      <c r="H114" s="4">
        <v>10</v>
      </c>
      <c r="I114" s="4">
        <v>9</v>
      </c>
      <c r="J114" s="4">
        <v>8</v>
      </c>
      <c r="K114" s="4">
        <v>7</v>
      </c>
      <c r="L114" s="4">
        <v>6</v>
      </c>
      <c r="M114" s="4">
        <v>5</v>
      </c>
      <c r="N114" s="4">
        <v>4</v>
      </c>
      <c r="O114" s="4">
        <v>3</v>
      </c>
      <c r="P114" s="4">
        <v>2</v>
      </c>
      <c r="Q114" s="4">
        <v>1</v>
      </c>
      <c r="R114" s="4">
        <v>11</v>
      </c>
      <c r="S114" s="4">
        <v>13</v>
      </c>
      <c r="T114" s="4">
        <v>12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</row>
    <row r="115" spans="4:25" x14ac:dyDescent="0.5">
      <c r="D115" s="100">
        <f>IF(SUM(F115:K116)&gt;0,D113+1,"")</f>
        <v>54</v>
      </c>
      <c r="E115" s="98" t="s">
        <v>15</v>
      </c>
      <c r="F115" s="4">
        <v>15</v>
      </c>
      <c r="G115" s="4">
        <v>18</v>
      </c>
      <c r="H115" s="4">
        <v>17</v>
      </c>
      <c r="I115" s="4">
        <v>20</v>
      </c>
      <c r="J115" s="4">
        <v>19</v>
      </c>
      <c r="K115" s="4">
        <v>16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</row>
    <row r="116" spans="4:25" ht="16.149999999999999" thickBot="1" x14ac:dyDescent="0.55000000000000004">
      <c r="D116" s="101"/>
      <c r="E116" s="99"/>
      <c r="F116" s="4">
        <v>14</v>
      </c>
      <c r="G116" s="4">
        <v>10</v>
      </c>
      <c r="H116" s="4">
        <v>9</v>
      </c>
      <c r="I116" s="4">
        <v>8</v>
      </c>
      <c r="J116" s="4">
        <v>7</v>
      </c>
      <c r="K116" s="4">
        <v>6</v>
      </c>
      <c r="L116" s="4">
        <v>5</v>
      </c>
      <c r="M116" s="4">
        <v>4</v>
      </c>
      <c r="N116" s="4">
        <v>3</v>
      </c>
      <c r="O116" s="4">
        <v>2</v>
      </c>
      <c r="P116" s="4">
        <v>1</v>
      </c>
      <c r="Q116" s="4">
        <v>11</v>
      </c>
      <c r="R116" s="4">
        <v>13</v>
      </c>
      <c r="S116" s="4">
        <v>12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</row>
    <row r="117" spans="4:25" x14ac:dyDescent="0.5">
      <c r="D117" s="100">
        <f>IF(SUM(F117:K118)&gt;0,D115+1,"")</f>
        <v>55</v>
      </c>
      <c r="E117" s="98" t="s">
        <v>15</v>
      </c>
      <c r="F117" s="4">
        <v>14</v>
      </c>
      <c r="G117" s="4">
        <v>15</v>
      </c>
      <c r="H117" s="4">
        <v>18</v>
      </c>
      <c r="I117" s="4">
        <v>17</v>
      </c>
      <c r="J117" s="4">
        <v>20</v>
      </c>
      <c r="K117" s="4">
        <v>19</v>
      </c>
      <c r="L117" s="4">
        <v>16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</row>
    <row r="118" spans="4:25" ht="16.149999999999999" thickBot="1" x14ac:dyDescent="0.55000000000000004">
      <c r="D118" s="101"/>
      <c r="E118" s="99"/>
      <c r="F118" s="4">
        <v>10</v>
      </c>
      <c r="G118" s="4">
        <v>9</v>
      </c>
      <c r="H118" s="4">
        <v>8</v>
      </c>
      <c r="I118" s="4">
        <v>7</v>
      </c>
      <c r="J118" s="4">
        <v>6</v>
      </c>
      <c r="K118" s="4">
        <v>5</v>
      </c>
      <c r="L118" s="4">
        <v>4</v>
      </c>
      <c r="M118" s="4">
        <v>3</v>
      </c>
      <c r="N118" s="4">
        <v>2</v>
      </c>
      <c r="O118" s="4">
        <v>1</v>
      </c>
      <c r="P118" s="4">
        <v>11</v>
      </c>
      <c r="Q118" s="4">
        <v>13</v>
      </c>
      <c r="R118" s="4">
        <v>12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</row>
    <row r="119" spans="4:25" x14ac:dyDescent="0.5">
      <c r="D119" s="100">
        <f>IF(SUM(F119:K120)&gt;0,D117+1,"")</f>
        <v>56</v>
      </c>
      <c r="E119" s="98" t="s">
        <v>16</v>
      </c>
      <c r="F119" s="4">
        <v>14</v>
      </c>
      <c r="G119" s="4">
        <v>15</v>
      </c>
      <c r="H119" s="4">
        <v>18</v>
      </c>
      <c r="I119" s="4">
        <v>17</v>
      </c>
      <c r="J119" s="4">
        <v>20</v>
      </c>
      <c r="K119" s="4">
        <v>19</v>
      </c>
      <c r="L119" s="4">
        <v>16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</row>
    <row r="120" spans="4:25" ht="16.149999999999999" thickBot="1" x14ac:dyDescent="0.55000000000000004">
      <c r="D120" s="101"/>
      <c r="E120" s="99"/>
      <c r="F120" s="4">
        <v>12</v>
      </c>
      <c r="G120" s="4">
        <v>10</v>
      </c>
      <c r="H120" s="4">
        <v>9</v>
      </c>
      <c r="I120" s="4">
        <v>8</v>
      </c>
      <c r="J120" s="4">
        <v>7</v>
      </c>
      <c r="K120" s="4">
        <v>6</v>
      </c>
      <c r="L120" s="4">
        <v>5</v>
      </c>
      <c r="M120" s="4">
        <v>4</v>
      </c>
      <c r="N120" s="4">
        <v>3</v>
      </c>
      <c r="O120" s="4">
        <v>2</v>
      </c>
      <c r="P120" s="4">
        <v>1</v>
      </c>
      <c r="Q120" s="4">
        <v>11</v>
      </c>
      <c r="R120" s="4">
        <v>13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</row>
    <row r="121" spans="4:25" x14ac:dyDescent="0.5">
      <c r="D121" s="100">
        <f>IF(SUM(F121:K122)&gt;0,D119+1,"")</f>
        <v>57</v>
      </c>
      <c r="E121" s="98" t="s">
        <v>16</v>
      </c>
      <c r="F121" s="4">
        <v>14</v>
      </c>
      <c r="G121" s="4">
        <v>15</v>
      </c>
      <c r="H121" s="4">
        <v>18</v>
      </c>
      <c r="I121" s="4">
        <v>17</v>
      </c>
      <c r="J121" s="4">
        <v>20</v>
      </c>
      <c r="K121" s="4">
        <v>19</v>
      </c>
      <c r="L121" s="4">
        <v>16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</row>
    <row r="122" spans="4:25" ht="16.149999999999999" thickBot="1" x14ac:dyDescent="0.55000000000000004">
      <c r="D122" s="101"/>
      <c r="E122" s="99"/>
      <c r="F122" s="4">
        <v>13</v>
      </c>
      <c r="G122" s="4">
        <v>12</v>
      </c>
      <c r="H122" s="4">
        <v>10</v>
      </c>
      <c r="I122" s="4">
        <v>9</v>
      </c>
      <c r="J122" s="4">
        <v>8</v>
      </c>
      <c r="K122" s="4">
        <v>7</v>
      </c>
      <c r="L122" s="4">
        <v>6</v>
      </c>
      <c r="M122" s="4">
        <v>5</v>
      </c>
      <c r="N122" s="4">
        <v>4</v>
      </c>
      <c r="O122" s="4">
        <v>3</v>
      </c>
      <c r="P122" s="4">
        <v>2</v>
      </c>
      <c r="Q122" s="4">
        <v>1</v>
      </c>
      <c r="R122" s="4">
        <v>11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</row>
    <row r="123" spans="4:25" x14ac:dyDescent="0.5">
      <c r="D123" s="100">
        <f>IF(SUM(F123:K124)&gt;0,D121+1,"")</f>
        <v>58</v>
      </c>
      <c r="E123" s="98" t="s">
        <v>15</v>
      </c>
      <c r="F123" s="4">
        <v>13</v>
      </c>
      <c r="G123" s="4">
        <v>14</v>
      </c>
      <c r="H123" s="4">
        <v>15</v>
      </c>
      <c r="I123" s="4">
        <v>18</v>
      </c>
      <c r="J123" s="4">
        <v>17</v>
      </c>
      <c r="K123" s="4">
        <v>20</v>
      </c>
      <c r="L123" s="4">
        <v>19</v>
      </c>
      <c r="M123" s="4">
        <v>16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</row>
    <row r="124" spans="4:25" ht="16.149999999999999" thickBot="1" x14ac:dyDescent="0.55000000000000004">
      <c r="D124" s="101"/>
      <c r="E124" s="99"/>
      <c r="F124" s="4">
        <v>12</v>
      </c>
      <c r="G124" s="4">
        <v>10</v>
      </c>
      <c r="H124" s="4">
        <v>9</v>
      </c>
      <c r="I124" s="4">
        <v>8</v>
      </c>
      <c r="J124" s="4">
        <v>7</v>
      </c>
      <c r="K124" s="4">
        <v>6</v>
      </c>
      <c r="L124" s="4">
        <v>5</v>
      </c>
      <c r="M124" s="4">
        <v>4</v>
      </c>
      <c r="N124" s="4">
        <v>3</v>
      </c>
      <c r="O124" s="4">
        <v>2</v>
      </c>
      <c r="P124" s="4">
        <v>1</v>
      </c>
      <c r="Q124" s="4">
        <v>11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</row>
    <row r="125" spans="4:25" x14ac:dyDescent="0.5">
      <c r="D125" s="100">
        <f>IF(SUM(F125:K126)&gt;0,D123+1,"")</f>
        <v>59</v>
      </c>
      <c r="E125" s="98" t="s">
        <v>15</v>
      </c>
      <c r="F125" s="4">
        <v>12</v>
      </c>
      <c r="G125" s="4">
        <v>13</v>
      </c>
      <c r="H125" s="4">
        <v>14</v>
      </c>
      <c r="I125" s="4">
        <v>15</v>
      </c>
      <c r="J125" s="4">
        <v>18</v>
      </c>
      <c r="K125" s="4">
        <v>17</v>
      </c>
      <c r="L125" s="4">
        <v>20</v>
      </c>
      <c r="M125" s="4">
        <v>19</v>
      </c>
      <c r="N125" s="4">
        <v>16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</row>
    <row r="126" spans="4:25" ht="16.149999999999999" thickBot="1" x14ac:dyDescent="0.55000000000000004">
      <c r="D126" s="101"/>
      <c r="E126" s="99"/>
      <c r="F126" s="4">
        <v>10</v>
      </c>
      <c r="G126" s="4">
        <v>9</v>
      </c>
      <c r="H126" s="4">
        <v>8</v>
      </c>
      <c r="I126" s="4">
        <v>7</v>
      </c>
      <c r="J126" s="4">
        <v>6</v>
      </c>
      <c r="K126" s="4">
        <v>5</v>
      </c>
      <c r="L126" s="4">
        <v>4</v>
      </c>
      <c r="M126" s="4">
        <v>3</v>
      </c>
      <c r="N126" s="4">
        <v>2</v>
      </c>
      <c r="O126" s="4">
        <v>1</v>
      </c>
      <c r="P126" s="4">
        <v>11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</row>
    <row r="127" spans="4:25" x14ac:dyDescent="0.5">
      <c r="D127" s="100">
        <f>IF(SUM(F127:K128)&gt;0,D125+1,"")</f>
        <v>60</v>
      </c>
      <c r="E127" s="98" t="s">
        <v>16</v>
      </c>
      <c r="F127" s="4">
        <v>12</v>
      </c>
      <c r="G127" s="4">
        <v>13</v>
      </c>
      <c r="H127" s="4">
        <v>14</v>
      </c>
      <c r="I127" s="4">
        <v>15</v>
      </c>
      <c r="J127" s="4">
        <v>18</v>
      </c>
      <c r="K127" s="4">
        <v>17</v>
      </c>
      <c r="L127" s="4">
        <v>20</v>
      </c>
      <c r="M127" s="4">
        <v>19</v>
      </c>
      <c r="N127" s="4">
        <v>16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</row>
    <row r="128" spans="4:25" ht="16.149999999999999" thickBot="1" x14ac:dyDescent="0.55000000000000004">
      <c r="D128" s="101"/>
      <c r="E128" s="99"/>
      <c r="F128" s="4">
        <v>11</v>
      </c>
      <c r="G128" s="4">
        <v>10</v>
      </c>
      <c r="H128" s="4">
        <v>9</v>
      </c>
      <c r="I128" s="4">
        <v>8</v>
      </c>
      <c r="J128" s="4">
        <v>7</v>
      </c>
      <c r="K128" s="4">
        <v>6</v>
      </c>
      <c r="L128" s="4">
        <v>5</v>
      </c>
      <c r="M128" s="4">
        <v>4</v>
      </c>
      <c r="N128" s="4">
        <v>3</v>
      </c>
      <c r="O128" s="4">
        <v>2</v>
      </c>
      <c r="P128" s="4">
        <v>1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</row>
    <row r="129" spans="4:25" x14ac:dyDescent="0.5">
      <c r="D129" s="100">
        <f>IF(SUM(F129:K130)&gt;0,D127+1,"")</f>
        <v>61</v>
      </c>
      <c r="E129" s="98" t="s">
        <v>13</v>
      </c>
      <c r="F129" s="4">
        <v>13</v>
      </c>
      <c r="G129" s="4">
        <v>14</v>
      </c>
      <c r="H129" s="4">
        <v>15</v>
      </c>
      <c r="I129" s="4">
        <v>18</v>
      </c>
      <c r="J129" s="4">
        <v>17</v>
      </c>
      <c r="K129" s="4">
        <v>20</v>
      </c>
      <c r="L129" s="4">
        <v>19</v>
      </c>
      <c r="M129" s="4">
        <v>16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</row>
    <row r="130" spans="4:25" ht="16.149999999999999" thickBot="1" x14ac:dyDescent="0.55000000000000004">
      <c r="D130" s="101"/>
      <c r="E130" s="99"/>
      <c r="F130" s="4">
        <v>12</v>
      </c>
      <c r="G130" s="4">
        <v>11</v>
      </c>
      <c r="H130" s="4">
        <v>10</v>
      </c>
      <c r="I130" s="4">
        <v>9</v>
      </c>
      <c r="J130" s="4">
        <v>8</v>
      </c>
      <c r="K130" s="4">
        <v>7</v>
      </c>
      <c r="L130" s="4">
        <v>6</v>
      </c>
      <c r="M130" s="4">
        <v>5</v>
      </c>
      <c r="N130" s="4">
        <v>4</v>
      </c>
      <c r="O130" s="4">
        <v>3</v>
      </c>
      <c r="P130" s="4">
        <v>2</v>
      </c>
      <c r="Q130" s="4">
        <v>1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</row>
    <row r="131" spans="4:25" x14ac:dyDescent="0.5">
      <c r="D131" s="100">
        <f>IF(SUM(F131:K132)&gt;0,D129+1,"")</f>
        <v>62</v>
      </c>
      <c r="E131" s="98" t="s">
        <v>13</v>
      </c>
      <c r="F131" s="4">
        <v>14</v>
      </c>
      <c r="G131" s="4">
        <v>15</v>
      </c>
      <c r="H131" s="4">
        <v>18</v>
      </c>
      <c r="I131" s="4">
        <v>17</v>
      </c>
      <c r="J131" s="4">
        <v>20</v>
      </c>
      <c r="K131" s="4">
        <v>19</v>
      </c>
      <c r="L131" s="4">
        <v>16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</row>
    <row r="132" spans="4:25" ht="16.149999999999999" thickBot="1" x14ac:dyDescent="0.55000000000000004">
      <c r="D132" s="101"/>
      <c r="E132" s="99"/>
      <c r="F132" s="4">
        <v>13</v>
      </c>
      <c r="G132" s="4">
        <v>12</v>
      </c>
      <c r="H132" s="4">
        <v>11</v>
      </c>
      <c r="I132" s="4">
        <v>10</v>
      </c>
      <c r="J132" s="4">
        <v>9</v>
      </c>
      <c r="K132" s="4">
        <v>8</v>
      </c>
      <c r="L132" s="4">
        <v>7</v>
      </c>
      <c r="M132" s="4">
        <v>6</v>
      </c>
      <c r="N132" s="4">
        <v>5</v>
      </c>
      <c r="O132" s="4">
        <v>4</v>
      </c>
      <c r="P132" s="4">
        <v>3</v>
      </c>
      <c r="Q132" s="4">
        <v>2</v>
      </c>
      <c r="R132" s="4">
        <v>1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</row>
    <row r="133" spans="4:25" x14ac:dyDescent="0.5">
      <c r="D133" s="100">
        <f>IF(SUM(F133:K134)&gt;0,D131+1,"")</f>
        <v>63</v>
      </c>
      <c r="E133" s="98" t="s">
        <v>13</v>
      </c>
      <c r="F133" s="4">
        <v>15</v>
      </c>
      <c r="G133" s="4">
        <v>18</v>
      </c>
      <c r="H133" s="4">
        <v>17</v>
      </c>
      <c r="I133" s="4">
        <v>20</v>
      </c>
      <c r="J133" s="4">
        <v>19</v>
      </c>
      <c r="K133" s="4">
        <v>16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</row>
    <row r="134" spans="4:25" ht="16.149999999999999" thickBot="1" x14ac:dyDescent="0.55000000000000004">
      <c r="D134" s="101"/>
      <c r="E134" s="99"/>
      <c r="F134" s="4">
        <v>14</v>
      </c>
      <c r="G134" s="4">
        <v>13</v>
      </c>
      <c r="H134" s="4">
        <v>12</v>
      </c>
      <c r="I134" s="4">
        <v>11</v>
      </c>
      <c r="J134" s="4">
        <v>10</v>
      </c>
      <c r="K134" s="4">
        <v>9</v>
      </c>
      <c r="L134" s="4">
        <v>8</v>
      </c>
      <c r="M134" s="4">
        <v>7</v>
      </c>
      <c r="N134" s="4">
        <v>6</v>
      </c>
      <c r="O134" s="4">
        <v>5</v>
      </c>
      <c r="P134" s="4">
        <v>4</v>
      </c>
      <c r="Q134" s="4">
        <v>3</v>
      </c>
      <c r="R134" s="4">
        <v>2</v>
      </c>
      <c r="S134" s="4">
        <v>1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</row>
    <row r="135" spans="4:25" x14ac:dyDescent="0.5">
      <c r="D135" s="100">
        <f>IF(SUM(F135:K136)&gt;0,D133+1,"")</f>
        <v>64</v>
      </c>
      <c r="E135" s="98" t="s">
        <v>13</v>
      </c>
      <c r="F135" s="7">
        <v>18</v>
      </c>
      <c r="G135" s="7">
        <v>17</v>
      </c>
      <c r="H135" s="7">
        <v>20</v>
      </c>
      <c r="I135" s="7">
        <v>19</v>
      </c>
      <c r="J135" s="7">
        <v>16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</row>
    <row r="136" spans="4:25" ht="16.149999999999999" thickBot="1" x14ac:dyDescent="0.55000000000000004">
      <c r="D136" s="101"/>
      <c r="E136" s="99"/>
      <c r="F136" s="4">
        <v>15</v>
      </c>
      <c r="G136" s="4">
        <v>14</v>
      </c>
      <c r="H136" s="4">
        <v>13</v>
      </c>
      <c r="I136" s="4">
        <v>12</v>
      </c>
      <c r="J136" s="4">
        <v>11</v>
      </c>
      <c r="K136" s="4">
        <v>10</v>
      </c>
      <c r="L136" s="4">
        <v>9</v>
      </c>
      <c r="M136" s="4">
        <v>8</v>
      </c>
      <c r="N136" s="4">
        <v>7</v>
      </c>
      <c r="O136" s="4">
        <v>6</v>
      </c>
      <c r="P136" s="4">
        <v>5</v>
      </c>
      <c r="Q136" s="4">
        <v>4</v>
      </c>
      <c r="R136" s="4">
        <v>3</v>
      </c>
      <c r="S136" s="4">
        <v>2</v>
      </c>
      <c r="T136" s="4">
        <v>1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</row>
    <row r="137" spans="4:25" x14ac:dyDescent="0.5">
      <c r="D137" s="100">
        <f>IF(SUM(F137:K138)&gt;0,D135+1,"")</f>
        <v>65</v>
      </c>
      <c r="E137" s="98" t="s">
        <v>19</v>
      </c>
      <c r="F137" s="6">
        <v>16</v>
      </c>
      <c r="G137" s="4">
        <v>18</v>
      </c>
      <c r="H137" s="4">
        <v>17</v>
      </c>
      <c r="I137" s="4">
        <v>20</v>
      </c>
      <c r="J137" s="4">
        <v>19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</row>
    <row r="138" spans="4:25" ht="16.149999999999999" thickBot="1" x14ac:dyDescent="0.55000000000000004">
      <c r="D138" s="101"/>
      <c r="E138" s="99"/>
      <c r="F138" s="4">
        <v>15</v>
      </c>
      <c r="G138" s="4">
        <v>14</v>
      </c>
      <c r="H138" s="4">
        <v>13</v>
      </c>
      <c r="I138" s="4">
        <v>12</v>
      </c>
      <c r="J138" s="4">
        <v>11</v>
      </c>
      <c r="K138" s="4">
        <v>10</v>
      </c>
      <c r="L138" s="4">
        <v>9</v>
      </c>
      <c r="M138" s="4">
        <v>8</v>
      </c>
      <c r="N138" s="4">
        <v>7</v>
      </c>
      <c r="O138" s="4">
        <v>6</v>
      </c>
      <c r="P138" s="4">
        <v>5</v>
      </c>
      <c r="Q138" s="4">
        <v>4</v>
      </c>
      <c r="R138" s="4">
        <v>3</v>
      </c>
      <c r="S138" s="4">
        <v>2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</row>
    <row r="139" spans="4:25" x14ac:dyDescent="0.5">
      <c r="D139" s="100">
        <f>IF(SUM(F139:K140)&gt;0,D137+1,"")</f>
        <v>66</v>
      </c>
      <c r="E139" s="98" t="s">
        <v>13</v>
      </c>
      <c r="F139" s="4">
        <v>18</v>
      </c>
      <c r="G139" s="4">
        <v>17</v>
      </c>
      <c r="H139" s="4">
        <v>20</v>
      </c>
      <c r="I139" s="4">
        <v>19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</row>
    <row r="140" spans="4:25" ht="16.149999999999999" thickBot="1" x14ac:dyDescent="0.55000000000000004">
      <c r="D140" s="101"/>
      <c r="E140" s="99"/>
      <c r="F140" s="6">
        <v>16</v>
      </c>
      <c r="G140" s="4">
        <v>15</v>
      </c>
      <c r="H140" s="4">
        <v>14</v>
      </c>
      <c r="I140" s="4">
        <v>13</v>
      </c>
      <c r="J140" s="4">
        <v>12</v>
      </c>
      <c r="K140" s="4">
        <v>11</v>
      </c>
      <c r="L140" s="4">
        <v>10</v>
      </c>
      <c r="M140" s="4">
        <v>9</v>
      </c>
      <c r="N140" s="4">
        <v>8</v>
      </c>
      <c r="O140" s="4">
        <v>7</v>
      </c>
      <c r="P140" s="4">
        <v>6</v>
      </c>
      <c r="Q140" s="4">
        <v>5</v>
      </c>
      <c r="R140" s="4">
        <v>4</v>
      </c>
      <c r="S140" s="4">
        <v>3</v>
      </c>
      <c r="T140" s="4">
        <v>2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</row>
    <row r="141" spans="4:25" x14ac:dyDescent="0.5">
      <c r="D141" s="100">
        <f>IF(SUM(F141:K142)&gt;0,D139+1,"")</f>
        <v>67</v>
      </c>
      <c r="E141" s="98" t="s">
        <v>12</v>
      </c>
      <c r="F141" s="4">
        <v>17</v>
      </c>
      <c r="G141" s="4">
        <v>20</v>
      </c>
      <c r="H141" s="4">
        <v>19</v>
      </c>
      <c r="I141" s="4">
        <v>18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</row>
    <row r="142" spans="4:25" ht="16.149999999999999" thickBot="1" x14ac:dyDescent="0.55000000000000004">
      <c r="D142" s="101"/>
      <c r="E142" s="99"/>
      <c r="F142" s="4">
        <v>16</v>
      </c>
      <c r="G142" s="4">
        <v>15</v>
      </c>
      <c r="H142" s="4">
        <v>14</v>
      </c>
      <c r="I142" s="4">
        <v>13</v>
      </c>
      <c r="J142" s="4">
        <v>12</v>
      </c>
      <c r="K142" s="4">
        <v>11</v>
      </c>
      <c r="L142" s="4">
        <v>10</v>
      </c>
      <c r="M142" s="4">
        <v>9</v>
      </c>
      <c r="N142" s="4">
        <v>8</v>
      </c>
      <c r="O142" s="4">
        <v>7</v>
      </c>
      <c r="P142" s="4">
        <v>6</v>
      </c>
      <c r="Q142" s="4">
        <v>5</v>
      </c>
      <c r="R142" s="4">
        <v>4</v>
      </c>
      <c r="S142" s="4">
        <v>3</v>
      </c>
      <c r="T142" s="4">
        <v>2</v>
      </c>
      <c r="U142" s="4">
        <v>1</v>
      </c>
      <c r="V142" s="4">
        <v>0</v>
      </c>
      <c r="W142" s="4">
        <v>0</v>
      </c>
      <c r="X142" s="4">
        <v>0</v>
      </c>
      <c r="Y142" s="4">
        <v>0</v>
      </c>
    </row>
    <row r="143" spans="4:25" x14ac:dyDescent="0.5">
      <c r="D143" s="100">
        <f>IF(SUM(F143:K144)&gt;0,D141+1,"")</f>
        <v>68</v>
      </c>
      <c r="E143" s="98" t="s">
        <v>13</v>
      </c>
      <c r="F143" s="4">
        <v>20</v>
      </c>
      <c r="G143" s="4">
        <v>19</v>
      </c>
      <c r="H143" s="4">
        <v>18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</row>
    <row r="144" spans="4:25" ht="16.149999999999999" thickBot="1" x14ac:dyDescent="0.55000000000000004">
      <c r="D144" s="101"/>
      <c r="E144" s="99"/>
      <c r="F144" s="4">
        <v>17</v>
      </c>
      <c r="G144" s="4">
        <v>16</v>
      </c>
      <c r="H144" s="4">
        <v>15</v>
      </c>
      <c r="I144" s="4">
        <v>14</v>
      </c>
      <c r="J144" s="4">
        <v>13</v>
      </c>
      <c r="K144" s="4">
        <v>12</v>
      </c>
      <c r="L144" s="4">
        <v>11</v>
      </c>
      <c r="M144" s="4">
        <v>10</v>
      </c>
      <c r="N144" s="4">
        <v>9</v>
      </c>
      <c r="O144" s="4">
        <v>8</v>
      </c>
      <c r="P144" s="4">
        <v>7</v>
      </c>
      <c r="Q144" s="4">
        <v>6</v>
      </c>
      <c r="R144" s="4">
        <v>5</v>
      </c>
      <c r="S144" s="4">
        <v>4</v>
      </c>
      <c r="T144" s="4">
        <v>3</v>
      </c>
      <c r="U144" s="4">
        <v>2</v>
      </c>
      <c r="V144" s="4">
        <v>1</v>
      </c>
      <c r="W144" s="4">
        <v>0</v>
      </c>
      <c r="X144" s="4">
        <v>0</v>
      </c>
      <c r="Y144" s="4">
        <v>0</v>
      </c>
    </row>
    <row r="145" spans="4:25" x14ac:dyDescent="0.5">
      <c r="D145" s="100">
        <f>IF(SUM(F145:K146)&gt;0,D143+1,"")</f>
        <v>69</v>
      </c>
      <c r="E145" s="98" t="s">
        <v>19</v>
      </c>
      <c r="F145" s="4">
        <v>18</v>
      </c>
      <c r="G145" s="4">
        <v>20</v>
      </c>
      <c r="H145" s="4">
        <v>19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</row>
    <row r="146" spans="4:25" ht="16.149999999999999" thickBot="1" x14ac:dyDescent="0.55000000000000004">
      <c r="D146" s="101"/>
      <c r="E146" s="99"/>
      <c r="F146" s="4">
        <v>17</v>
      </c>
      <c r="G146" s="4">
        <v>16</v>
      </c>
      <c r="H146" s="4">
        <v>15</v>
      </c>
      <c r="I146" s="4">
        <v>14</v>
      </c>
      <c r="J146" s="4">
        <v>13</v>
      </c>
      <c r="K146" s="4">
        <v>12</v>
      </c>
      <c r="L146" s="4">
        <v>11</v>
      </c>
      <c r="M146" s="4">
        <v>10</v>
      </c>
      <c r="N146" s="4">
        <v>9</v>
      </c>
      <c r="O146" s="4">
        <v>8</v>
      </c>
      <c r="P146" s="4">
        <v>7</v>
      </c>
      <c r="Q146" s="4">
        <v>6</v>
      </c>
      <c r="R146" s="4">
        <v>5</v>
      </c>
      <c r="S146" s="4">
        <v>4</v>
      </c>
      <c r="T146" s="4">
        <v>3</v>
      </c>
      <c r="U146" s="4">
        <v>2</v>
      </c>
      <c r="V146" s="4">
        <v>1</v>
      </c>
      <c r="W146" s="4">
        <v>0</v>
      </c>
      <c r="X146" s="4">
        <v>0</v>
      </c>
      <c r="Y146" s="4">
        <v>0</v>
      </c>
    </row>
    <row r="147" spans="4:25" x14ac:dyDescent="0.5">
      <c r="D147" s="100">
        <f>IF(SUM(F147:K148)&gt;0,D145+1,"")</f>
        <v>70</v>
      </c>
      <c r="E147" s="98" t="s">
        <v>13</v>
      </c>
      <c r="F147" s="4">
        <v>20</v>
      </c>
      <c r="G147" s="4">
        <v>19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</row>
    <row r="148" spans="4:25" ht="16.149999999999999" thickBot="1" x14ac:dyDescent="0.55000000000000004">
      <c r="D148" s="101"/>
      <c r="E148" s="99"/>
      <c r="F148" s="4">
        <v>18</v>
      </c>
      <c r="G148" s="4">
        <v>17</v>
      </c>
      <c r="H148" s="4">
        <v>16</v>
      </c>
      <c r="I148" s="4">
        <v>15</v>
      </c>
      <c r="J148" s="4">
        <v>14</v>
      </c>
      <c r="K148" s="4">
        <v>13</v>
      </c>
      <c r="L148" s="4">
        <v>12</v>
      </c>
      <c r="M148" s="4">
        <v>11</v>
      </c>
      <c r="N148" s="4">
        <v>10</v>
      </c>
      <c r="O148" s="4">
        <v>9</v>
      </c>
      <c r="P148" s="4">
        <v>8</v>
      </c>
      <c r="Q148" s="4">
        <v>7</v>
      </c>
      <c r="R148" s="4">
        <v>6</v>
      </c>
      <c r="S148" s="4">
        <v>5</v>
      </c>
      <c r="T148" s="4">
        <v>4</v>
      </c>
      <c r="U148" s="4">
        <v>3</v>
      </c>
      <c r="V148" s="4">
        <v>2</v>
      </c>
      <c r="W148" s="4">
        <v>1</v>
      </c>
      <c r="X148" s="4">
        <v>0</v>
      </c>
      <c r="Y148" s="4">
        <v>0</v>
      </c>
    </row>
    <row r="149" spans="4:25" x14ac:dyDescent="0.5">
      <c r="D149" s="100">
        <f>IF(SUM(F149:K150)&gt;0,D147+1,"")</f>
        <v>71</v>
      </c>
      <c r="E149" s="98" t="s">
        <v>18</v>
      </c>
      <c r="F149" s="4">
        <v>19</v>
      </c>
      <c r="G149" s="4">
        <v>20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</row>
    <row r="150" spans="4:25" ht="16.149999999999999" thickBot="1" x14ac:dyDescent="0.55000000000000004">
      <c r="D150" s="101"/>
      <c r="E150" s="99"/>
      <c r="F150" s="4">
        <v>18</v>
      </c>
      <c r="G150" s="4">
        <v>17</v>
      </c>
      <c r="H150" s="4">
        <v>16</v>
      </c>
      <c r="I150" s="4">
        <v>15</v>
      </c>
      <c r="J150" s="4">
        <v>14</v>
      </c>
      <c r="K150" s="4">
        <v>13</v>
      </c>
      <c r="L150" s="4">
        <v>12</v>
      </c>
      <c r="M150" s="4">
        <v>11</v>
      </c>
      <c r="N150" s="4">
        <v>10</v>
      </c>
      <c r="O150" s="4">
        <v>9</v>
      </c>
      <c r="P150" s="4">
        <v>8</v>
      </c>
      <c r="Q150" s="4">
        <v>7</v>
      </c>
      <c r="R150" s="4">
        <v>6</v>
      </c>
      <c r="S150" s="4">
        <v>5</v>
      </c>
      <c r="T150" s="4">
        <v>4</v>
      </c>
      <c r="U150" s="4">
        <v>3</v>
      </c>
      <c r="V150" s="4">
        <v>2</v>
      </c>
      <c r="W150" s="4">
        <v>1</v>
      </c>
      <c r="X150" s="4">
        <v>0</v>
      </c>
      <c r="Y150" s="4">
        <v>0</v>
      </c>
    </row>
    <row r="151" spans="4:25" x14ac:dyDescent="0.5">
      <c r="D151" s="100">
        <f>IF(SUM(F151:K152)&gt;0,D149+1,"")</f>
        <v>72</v>
      </c>
      <c r="E151" s="98" t="s">
        <v>15</v>
      </c>
      <c r="F151" s="4">
        <v>18</v>
      </c>
      <c r="G151" s="4">
        <v>19</v>
      </c>
      <c r="H151" s="4">
        <v>20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</row>
    <row r="152" spans="4:25" ht="16.149999999999999" thickBot="1" x14ac:dyDescent="0.55000000000000004">
      <c r="D152" s="101"/>
      <c r="E152" s="99"/>
      <c r="F152" s="4">
        <v>17</v>
      </c>
      <c r="G152" s="4">
        <v>16</v>
      </c>
      <c r="H152" s="4">
        <v>15</v>
      </c>
      <c r="I152" s="4">
        <v>14</v>
      </c>
      <c r="J152" s="4">
        <v>13</v>
      </c>
      <c r="K152" s="4">
        <v>12</v>
      </c>
      <c r="L152" s="4">
        <v>11</v>
      </c>
      <c r="M152" s="4">
        <v>10</v>
      </c>
      <c r="N152" s="4">
        <v>9</v>
      </c>
      <c r="O152" s="4">
        <v>8</v>
      </c>
      <c r="P152" s="4">
        <v>7</v>
      </c>
      <c r="Q152" s="4">
        <v>6</v>
      </c>
      <c r="R152" s="4">
        <v>5</v>
      </c>
      <c r="S152" s="4">
        <v>4</v>
      </c>
      <c r="T152" s="4">
        <v>3</v>
      </c>
      <c r="U152" s="4">
        <v>2</v>
      </c>
      <c r="V152" s="4">
        <v>1</v>
      </c>
      <c r="W152" s="4">
        <v>0</v>
      </c>
      <c r="X152" s="4">
        <v>0</v>
      </c>
      <c r="Y152" s="4">
        <v>0</v>
      </c>
    </row>
    <row r="153" spans="4:25" x14ac:dyDescent="0.5">
      <c r="D153" s="100">
        <f>IF(SUM(F153:K154)&gt;0,D151+1,"")</f>
        <v>73</v>
      </c>
      <c r="E153" s="98" t="s">
        <v>15</v>
      </c>
      <c r="F153" s="4">
        <v>17</v>
      </c>
      <c r="G153" s="4">
        <v>18</v>
      </c>
      <c r="H153" s="4">
        <v>19</v>
      </c>
      <c r="I153" s="4">
        <v>20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</row>
    <row r="154" spans="4:25" ht="16.149999999999999" thickBot="1" x14ac:dyDescent="0.55000000000000004">
      <c r="D154" s="101"/>
      <c r="E154" s="99"/>
      <c r="F154" s="4">
        <v>16</v>
      </c>
      <c r="G154" s="4">
        <v>15</v>
      </c>
      <c r="H154" s="4">
        <v>14</v>
      </c>
      <c r="I154" s="4">
        <v>13</v>
      </c>
      <c r="J154" s="4">
        <v>12</v>
      </c>
      <c r="K154" s="4">
        <v>11</v>
      </c>
      <c r="L154" s="4">
        <v>10</v>
      </c>
      <c r="M154" s="4">
        <v>9</v>
      </c>
      <c r="N154" s="4">
        <v>8</v>
      </c>
      <c r="O154" s="4">
        <v>7</v>
      </c>
      <c r="P154" s="4">
        <v>6</v>
      </c>
      <c r="Q154" s="4">
        <v>5</v>
      </c>
      <c r="R154" s="4">
        <v>4</v>
      </c>
      <c r="S154" s="4">
        <v>3</v>
      </c>
      <c r="T154" s="4">
        <v>2</v>
      </c>
      <c r="U154" s="4">
        <v>1</v>
      </c>
      <c r="V154" s="4">
        <v>0</v>
      </c>
      <c r="W154" s="4">
        <v>0</v>
      </c>
      <c r="X154" s="4">
        <v>0</v>
      </c>
      <c r="Y154" s="4">
        <v>0</v>
      </c>
    </row>
    <row r="155" spans="4:25" x14ac:dyDescent="0.5">
      <c r="D155" s="100">
        <f>IF(SUM(F155:K156)&gt;0,D153+1,"")</f>
        <v>74</v>
      </c>
      <c r="E155" s="98" t="s">
        <v>15</v>
      </c>
      <c r="F155" s="4">
        <v>16</v>
      </c>
      <c r="G155" s="4">
        <v>17</v>
      </c>
      <c r="H155" s="4">
        <v>18</v>
      </c>
      <c r="I155" s="4">
        <v>19</v>
      </c>
      <c r="J155" s="4">
        <v>20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</row>
    <row r="156" spans="4:25" ht="16.149999999999999" thickBot="1" x14ac:dyDescent="0.55000000000000004">
      <c r="D156" s="101"/>
      <c r="E156" s="99"/>
      <c r="F156" s="4">
        <v>15</v>
      </c>
      <c r="G156" s="4">
        <v>14</v>
      </c>
      <c r="H156" s="4">
        <v>13</v>
      </c>
      <c r="I156" s="4">
        <v>12</v>
      </c>
      <c r="J156" s="4">
        <v>11</v>
      </c>
      <c r="K156" s="4">
        <v>10</v>
      </c>
      <c r="L156" s="4">
        <v>9</v>
      </c>
      <c r="M156" s="4">
        <v>8</v>
      </c>
      <c r="N156" s="4">
        <v>7</v>
      </c>
      <c r="O156" s="4">
        <v>6</v>
      </c>
      <c r="P156" s="4">
        <v>5</v>
      </c>
      <c r="Q156" s="4">
        <v>4</v>
      </c>
      <c r="R156" s="4">
        <v>3</v>
      </c>
      <c r="S156" s="4">
        <v>2</v>
      </c>
      <c r="T156" s="4">
        <v>1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</row>
    <row r="157" spans="4:25" x14ac:dyDescent="0.5">
      <c r="D157" s="100">
        <f>IF(SUM(F157:K158)&gt;0,D155+1,"")</f>
        <v>75</v>
      </c>
      <c r="E157" s="98" t="s">
        <v>15</v>
      </c>
      <c r="F157" s="4">
        <v>15</v>
      </c>
      <c r="G157" s="4">
        <v>16</v>
      </c>
      <c r="H157" s="4">
        <v>17</v>
      </c>
      <c r="I157" s="4">
        <v>18</v>
      </c>
      <c r="J157" s="4">
        <v>19</v>
      </c>
      <c r="K157" s="4">
        <v>20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</row>
    <row r="158" spans="4:25" ht="16.149999999999999" thickBot="1" x14ac:dyDescent="0.55000000000000004">
      <c r="D158" s="101"/>
      <c r="E158" s="99"/>
      <c r="F158" s="4">
        <v>14</v>
      </c>
      <c r="G158" s="4">
        <v>13</v>
      </c>
      <c r="H158" s="4">
        <v>12</v>
      </c>
      <c r="I158" s="4">
        <v>11</v>
      </c>
      <c r="J158" s="4">
        <v>10</v>
      </c>
      <c r="K158" s="4">
        <v>9</v>
      </c>
      <c r="L158" s="4">
        <v>8</v>
      </c>
      <c r="M158" s="4">
        <v>7</v>
      </c>
      <c r="N158" s="4">
        <v>6</v>
      </c>
      <c r="O158" s="4">
        <v>5</v>
      </c>
      <c r="P158" s="4">
        <v>4</v>
      </c>
      <c r="Q158" s="4">
        <v>3</v>
      </c>
      <c r="R158" s="4">
        <v>2</v>
      </c>
      <c r="S158" s="4">
        <v>1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</row>
    <row r="159" spans="4:25" x14ac:dyDescent="0.5">
      <c r="D159" s="100">
        <f>IF(SUM(F159:K160)&gt;0,D157+1,"")</f>
        <v>76</v>
      </c>
      <c r="E159" s="98" t="s">
        <v>15</v>
      </c>
      <c r="F159" s="4">
        <v>14</v>
      </c>
      <c r="G159" s="4">
        <v>15</v>
      </c>
      <c r="H159" s="4">
        <v>16</v>
      </c>
      <c r="I159" s="4">
        <v>17</v>
      </c>
      <c r="J159" s="4">
        <v>18</v>
      </c>
      <c r="K159" s="4">
        <v>19</v>
      </c>
      <c r="L159" s="4">
        <v>20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</row>
    <row r="160" spans="4:25" ht="16.149999999999999" thickBot="1" x14ac:dyDescent="0.55000000000000004">
      <c r="D160" s="101"/>
      <c r="E160" s="99"/>
      <c r="F160" s="4">
        <v>13</v>
      </c>
      <c r="G160" s="4">
        <v>12</v>
      </c>
      <c r="H160" s="4">
        <v>11</v>
      </c>
      <c r="I160" s="4">
        <v>10</v>
      </c>
      <c r="J160" s="4">
        <v>9</v>
      </c>
      <c r="K160" s="4">
        <v>8</v>
      </c>
      <c r="L160" s="4">
        <v>7</v>
      </c>
      <c r="M160" s="4">
        <v>6</v>
      </c>
      <c r="N160" s="4">
        <v>5</v>
      </c>
      <c r="O160" s="4">
        <v>4</v>
      </c>
      <c r="P160" s="4">
        <v>3</v>
      </c>
      <c r="Q160" s="4">
        <v>2</v>
      </c>
      <c r="R160" s="4">
        <v>1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</row>
    <row r="161" spans="4:25" x14ac:dyDescent="0.5">
      <c r="D161" s="100">
        <f>IF(SUM(F161:K162)&gt;0,D159+1,"")</f>
        <v>77</v>
      </c>
      <c r="E161" s="98" t="s">
        <v>15</v>
      </c>
      <c r="F161" s="4">
        <v>13</v>
      </c>
      <c r="G161" s="4">
        <v>14</v>
      </c>
      <c r="H161" s="4">
        <v>15</v>
      </c>
      <c r="I161" s="4">
        <v>16</v>
      </c>
      <c r="J161" s="4">
        <v>17</v>
      </c>
      <c r="K161" s="4">
        <v>18</v>
      </c>
      <c r="L161" s="4">
        <v>19</v>
      </c>
      <c r="M161" s="4">
        <v>20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</row>
    <row r="162" spans="4:25" ht="16.149999999999999" thickBot="1" x14ac:dyDescent="0.55000000000000004">
      <c r="D162" s="101"/>
      <c r="E162" s="99"/>
      <c r="F162" s="4">
        <v>12</v>
      </c>
      <c r="G162" s="4">
        <v>11</v>
      </c>
      <c r="H162" s="4">
        <v>10</v>
      </c>
      <c r="I162" s="4">
        <v>9</v>
      </c>
      <c r="J162" s="4">
        <v>8</v>
      </c>
      <c r="K162" s="4">
        <v>7</v>
      </c>
      <c r="L162" s="4">
        <v>6</v>
      </c>
      <c r="M162" s="4">
        <v>5</v>
      </c>
      <c r="N162" s="4">
        <v>4</v>
      </c>
      <c r="O162" s="4">
        <v>3</v>
      </c>
      <c r="P162" s="4">
        <v>2</v>
      </c>
      <c r="Q162" s="4">
        <v>1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</row>
    <row r="163" spans="4:25" x14ac:dyDescent="0.5">
      <c r="D163" s="100">
        <f>IF(SUM(F163:K164)&gt;0,D161+1,"")</f>
        <v>78</v>
      </c>
      <c r="E163" s="98" t="s">
        <v>15</v>
      </c>
      <c r="F163" s="4">
        <v>12</v>
      </c>
      <c r="G163" s="4">
        <v>13</v>
      </c>
      <c r="H163" s="4">
        <v>14</v>
      </c>
      <c r="I163" s="4">
        <v>15</v>
      </c>
      <c r="J163" s="4">
        <v>16</v>
      </c>
      <c r="K163" s="4">
        <v>17</v>
      </c>
      <c r="L163" s="4">
        <v>18</v>
      </c>
      <c r="M163" s="4">
        <v>19</v>
      </c>
      <c r="N163" s="4">
        <v>20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</row>
    <row r="164" spans="4:25" ht="16.149999999999999" thickBot="1" x14ac:dyDescent="0.55000000000000004">
      <c r="D164" s="101"/>
      <c r="E164" s="99"/>
      <c r="F164" s="4">
        <v>11</v>
      </c>
      <c r="G164" s="4">
        <v>10</v>
      </c>
      <c r="H164" s="4">
        <v>9</v>
      </c>
      <c r="I164" s="4">
        <v>8</v>
      </c>
      <c r="J164" s="4">
        <v>7</v>
      </c>
      <c r="K164" s="4">
        <v>6</v>
      </c>
      <c r="L164" s="4">
        <v>5</v>
      </c>
      <c r="M164" s="4">
        <v>4</v>
      </c>
      <c r="N164" s="4">
        <v>3</v>
      </c>
      <c r="O164" s="4">
        <v>2</v>
      </c>
      <c r="P164" s="4">
        <v>1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</row>
    <row r="165" spans="4:25" x14ac:dyDescent="0.5">
      <c r="D165" s="100">
        <f>IF(SUM(F165:K166)&gt;0,D163+1,"")</f>
        <v>79</v>
      </c>
      <c r="E165" s="98" t="s">
        <v>15</v>
      </c>
      <c r="F165" s="4">
        <v>11</v>
      </c>
      <c r="G165" s="4">
        <v>12</v>
      </c>
      <c r="H165" s="4">
        <v>13</v>
      </c>
      <c r="I165" s="4">
        <v>14</v>
      </c>
      <c r="J165" s="4">
        <v>15</v>
      </c>
      <c r="K165" s="4">
        <v>16</v>
      </c>
      <c r="L165" s="4">
        <v>17</v>
      </c>
      <c r="M165" s="4">
        <v>18</v>
      </c>
      <c r="N165" s="4">
        <v>19</v>
      </c>
      <c r="O165" s="4">
        <v>20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</row>
    <row r="166" spans="4:25" ht="16.149999999999999" thickBot="1" x14ac:dyDescent="0.55000000000000004">
      <c r="D166" s="101"/>
      <c r="E166" s="99"/>
      <c r="F166" s="4">
        <v>10</v>
      </c>
      <c r="G166" s="4">
        <v>9</v>
      </c>
      <c r="H166" s="4">
        <v>8</v>
      </c>
      <c r="I166" s="4">
        <v>7</v>
      </c>
      <c r="J166" s="4">
        <v>6</v>
      </c>
      <c r="K166" s="4">
        <v>5</v>
      </c>
      <c r="L166" s="4">
        <v>4</v>
      </c>
      <c r="M166" s="4">
        <v>3</v>
      </c>
      <c r="N166" s="4">
        <v>2</v>
      </c>
      <c r="O166" s="4">
        <v>1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</row>
    <row r="167" spans="4:25" x14ac:dyDescent="0.5">
      <c r="D167" s="100">
        <f>IF(SUM(F167:K168)&gt;0,D165+1,"")</f>
        <v>80</v>
      </c>
      <c r="E167" s="98" t="s">
        <v>15</v>
      </c>
      <c r="F167" s="4">
        <v>10</v>
      </c>
      <c r="G167" s="4">
        <v>11</v>
      </c>
      <c r="H167" s="4">
        <v>12</v>
      </c>
      <c r="I167" s="4">
        <v>13</v>
      </c>
      <c r="J167" s="4">
        <v>14</v>
      </c>
      <c r="K167" s="4">
        <v>15</v>
      </c>
      <c r="L167" s="4">
        <v>16</v>
      </c>
      <c r="M167" s="4">
        <v>17</v>
      </c>
      <c r="N167" s="4">
        <v>18</v>
      </c>
      <c r="O167" s="4">
        <v>19</v>
      </c>
      <c r="P167" s="4">
        <v>20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</row>
    <row r="168" spans="4:25" ht="16.149999999999999" thickBot="1" x14ac:dyDescent="0.55000000000000004">
      <c r="D168" s="101"/>
      <c r="E168" s="99"/>
      <c r="F168" s="4">
        <v>9</v>
      </c>
      <c r="G168" s="4">
        <v>8</v>
      </c>
      <c r="H168" s="4">
        <v>7</v>
      </c>
      <c r="I168" s="4">
        <v>6</v>
      </c>
      <c r="J168" s="4">
        <v>5</v>
      </c>
      <c r="K168" s="4">
        <v>4</v>
      </c>
      <c r="L168" s="4">
        <v>3</v>
      </c>
      <c r="M168" s="4">
        <v>2</v>
      </c>
      <c r="N168" s="4">
        <v>1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</row>
    <row r="169" spans="4:25" x14ac:dyDescent="0.5">
      <c r="D169" s="100">
        <f>IF(SUM(F169:K170)&gt;0,D167+1,"")</f>
        <v>81</v>
      </c>
      <c r="E169" s="98" t="s">
        <v>15</v>
      </c>
      <c r="F169" s="4">
        <v>9</v>
      </c>
      <c r="G169" s="4">
        <v>10</v>
      </c>
      <c r="H169" s="4">
        <v>11</v>
      </c>
      <c r="I169" s="4">
        <v>12</v>
      </c>
      <c r="J169" s="4">
        <v>13</v>
      </c>
      <c r="K169" s="4">
        <v>14</v>
      </c>
      <c r="L169" s="4">
        <v>15</v>
      </c>
      <c r="M169" s="4">
        <v>16</v>
      </c>
      <c r="N169" s="4">
        <v>17</v>
      </c>
      <c r="O169" s="4">
        <v>18</v>
      </c>
      <c r="P169" s="4">
        <v>19</v>
      </c>
      <c r="Q169" s="4">
        <v>20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</row>
    <row r="170" spans="4:25" ht="16.149999999999999" thickBot="1" x14ac:dyDescent="0.55000000000000004">
      <c r="D170" s="101"/>
      <c r="E170" s="99"/>
      <c r="F170" s="4">
        <v>8</v>
      </c>
      <c r="G170" s="4">
        <v>7</v>
      </c>
      <c r="H170" s="4">
        <v>6</v>
      </c>
      <c r="I170" s="4">
        <v>5</v>
      </c>
      <c r="J170" s="4">
        <v>4</v>
      </c>
      <c r="K170" s="4">
        <v>3</v>
      </c>
      <c r="L170" s="4">
        <v>2</v>
      </c>
      <c r="M170" s="4">
        <v>1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</row>
    <row r="171" spans="4:25" x14ac:dyDescent="0.5">
      <c r="D171" s="100">
        <f>IF(SUM(F171:K172)&gt;0,D169+1,"")</f>
        <v>82</v>
      </c>
      <c r="E171" s="98" t="s">
        <v>15</v>
      </c>
      <c r="F171" s="4">
        <v>8</v>
      </c>
      <c r="G171" s="4">
        <v>9</v>
      </c>
      <c r="H171" s="4">
        <v>10</v>
      </c>
      <c r="I171" s="4">
        <v>11</v>
      </c>
      <c r="J171" s="4">
        <v>12</v>
      </c>
      <c r="K171" s="4">
        <v>13</v>
      </c>
      <c r="L171" s="4">
        <v>14</v>
      </c>
      <c r="M171" s="4">
        <v>15</v>
      </c>
      <c r="N171" s="4">
        <v>16</v>
      </c>
      <c r="O171" s="4">
        <v>17</v>
      </c>
      <c r="P171" s="4">
        <v>18</v>
      </c>
      <c r="Q171" s="4">
        <v>19</v>
      </c>
      <c r="R171" s="4">
        <v>20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</row>
    <row r="172" spans="4:25" ht="16.149999999999999" thickBot="1" x14ac:dyDescent="0.55000000000000004">
      <c r="D172" s="101"/>
      <c r="E172" s="99"/>
      <c r="F172" s="4">
        <v>7</v>
      </c>
      <c r="G172" s="4">
        <v>6</v>
      </c>
      <c r="H172" s="4">
        <v>5</v>
      </c>
      <c r="I172" s="4">
        <v>4</v>
      </c>
      <c r="J172" s="4">
        <v>3</v>
      </c>
      <c r="K172" s="4">
        <v>2</v>
      </c>
      <c r="L172" s="4">
        <v>1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</row>
    <row r="173" spans="4:25" x14ac:dyDescent="0.5">
      <c r="D173" s="100">
        <f>IF(SUM(F173:K174)&gt;0,D171+1,"")</f>
        <v>83</v>
      </c>
      <c r="E173" s="98" t="s">
        <v>15</v>
      </c>
      <c r="F173" s="4">
        <v>7</v>
      </c>
      <c r="G173" s="4">
        <v>8</v>
      </c>
      <c r="H173" s="4">
        <v>9</v>
      </c>
      <c r="I173" s="4">
        <v>10</v>
      </c>
      <c r="J173" s="4">
        <v>11</v>
      </c>
      <c r="K173" s="4">
        <v>12</v>
      </c>
      <c r="L173" s="4">
        <v>13</v>
      </c>
      <c r="M173" s="4">
        <v>14</v>
      </c>
      <c r="N173" s="4">
        <v>15</v>
      </c>
      <c r="O173" s="4">
        <v>16</v>
      </c>
      <c r="P173" s="4">
        <v>17</v>
      </c>
      <c r="Q173" s="4">
        <v>18</v>
      </c>
      <c r="R173" s="4">
        <v>19</v>
      </c>
      <c r="S173" s="4">
        <v>20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</row>
    <row r="174" spans="4:25" ht="16.149999999999999" thickBot="1" x14ac:dyDescent="0.55000000000000004">
      <c r="D174" s="101"/>
      <c r="E174" s="99"/>
      <c r="F174" s="4">
        <v>6</v>
      </c>
      <c r="G174" s="4">
        <v>5</v>
      </c>
      <c r="H174" s="4">
        <v>4</v>
      </c>
      <c r="I174" s="4">
        <v>3</v>
      </c>
      <c r="J174" s="4">
        <v>2</v>
      </c>
      <c r="K174" s="4">
        <v>1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</row>
    <row r="175" spans="4:25" x14ac:dyDescent="0.5">
      <c r="D175" s="100">
        <f>IF(SUM(F175:K176)&gt;0,D173+1,"")</f>
        <v>84</v>
      </c>
      <c r="E175" s="98" t="s">
        <v>15</v>
      </c>
      <c r="F175" s="4">
        <v>6</v>
      </c>
      <c r="G175" s="4">
        <v>7</v>
      </c>
      <c r="H175" s="4">
        <v>8</v>
      </c>
      <c r="I175" s="4">
        <v>9</v>
      </c>
      <c r="J175" s="4">
        <v>10</v>
      </c>
      <c r="K175" s="4">
        <v>11</v>
      </c>
      <c r="L175" s="4">
        <v>12</v>
      </c>
      <c r="M175" s="4">
        <v>13</v>
      </c>
      <c r="N175" s="4">
        <v>14</v>
      </c>
      <c r="O175" s="4">
        <v>15</v>
      </c>
      <c r="P175" s="4">
        <v>16</v>
      </c>
      <c r="Q175" s="4">
        <v>17</v>
      </c>
      <c r="R175" s="4">
        <v>18</v>
      </c>
      <c r="S175" s="4">
        <v>19</v>
      </c>
      <c r="T175" s="4">
        <v>20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</row>
    <row r="176" spans="4:25" ht="16.149999999999999" thickBot="1" x14ac:dyDescent="0.55000000000000004">
      <c r="D176" s="101"/>
      <c r="E176" s="99"/>
      <c r="F176" s="4">
        <v>5</v>
      </c>
      <c r="G176" s="4">
        <v>4</v>
      </c>
      <c r="H176" s="4">
        <v>3</v>
      </c>
      <c r="I176" s="4">
        <v>2</v>
      </c>
      <c r="J176" s="4">
        <v>1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</row>
    <row r="177" spans="4:25" x14ac:dyDescent="0.5">
      <c r="D177" s="100">
        <f>IF(SUM(F177:K178)&gt;0,D175+1,"")</f>
        <v>85</v>
      </c>
      <c r="E177" s="98" t="s">
        <v>15</v>
      </c>
      <c r="F177" s="4">
        <v>5</v>
      </c>
      <c r="G177" s="4">
        <v>6</v>
      </c>
      <c r="H177" s="4">
        <v>7</v>
      </c>
      <c r="I177" s="4">
        <v>8</v>
      </c>
      <c r="J177" s="4">
        <v>9</v>
      </c>
      <c r="K177" s="4">
        <v>10</v>
      </c>
      <c r="L177" s="4">
        <v>11</v>
      </c>
      <c r="M177" s="4">
        <v>12</v>
      </c>
      <c r="N177" s="4">
        <v>13</v>
      </c>
      <c r="O177" s="4">
        <v>14</v>
      </c>
      <c r="P177" s="4">
        <v>15</v>
      </c>
      <c r="Q177" s="4">
        <v>16</v>
      </c>
      <c r="R177" s="4">
        <v>17</v>
      </c>
      <c r="S177" s="4">
        <v>18</v>
      </c>
      <c r="T177" s="4">
        <v>19</v>
      </c>
      <c r="U177" s="4">
        <v>20</v>
      </c>
      <c r="V177" s="4">
        <v>0</v>
      </c>
      <c r="W177" s="4">
        <v>0</v>
      </c>
      <c r="X177" s="4">
        <v>0</v>
      </c>
      <c r="Y177" s="4">
        <v>0</v>
      </c>
    </row>
    <row r="178" spans="4:25" ht="16.149999999999999" thickBot="1" x14ac:dyDescent="0.55000000000000004">
      <c r="D178" s="101"/>
      <c r="E178" s="99"/>
      <c r="F178" s="4">
        <v>4</v>
      </c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</row>
    <row r="179" spans="4:25" x14ac:dyDescent="0.5">
      <c r="D179" s="100">
        <f>IF(SUM(F179:K180)&gt;0,D177+1,"")</f>
        <v>86</v>
      </c>
      <c r="E179" s="98" t="s">
        <v>15</v>
      </c>
      <c r="F179" s="4">
        <v>4</v>
      </c>
      <c r="G179" s="4">
        <v>5</v>
      </c>
      <c r="H179" s="4">
        <v>6</v>
      </c>
      <c r="I179" s="4">
        <v>7</v>
      </c>
      <c r="J179" s="4">
        <v>8</v>
      </c>
      <c r="K179" s="4">
        <v>9</v>
      </c>
      <c r="L179" s="4">
        <v>10</v>
      </c>
      <c r="M179" s="4">
        <v>11</v>
      </c>
      <c r="N179" s="4">
        <v>12</v>
      </c>
      <c r="O179" s="4">
        <v>13</v>
      </c>
      <c r="P179" s="4">
        <v>14</v>
      </c>
      <c r="Q179" s="4">
        <v>15</v>
      </c>
      <c r="R179" s="4">
        <v>16</v>
      </c>
      <c r="S179" s="4">
        <v>17</v>
      </c>
      <c r="T179" s="4">
        <v>18</v>
      </c>
      <c r="U179" s="4">
        <v>19</v>
      </c>
      <c r="V179" s="4">
        <v>20</v>
      </c>
      <c r="W179" s="4">
        <v>0</v>
      </c>
      <c r="X179" s="4">
        <v>0</v>
      </c>
      <c r="Y179" s="4">
        <v>0</v>
      </c>
    </row>
    <row r="180" spans="4:25" ht="16.149999999999999" thickBot="1" x14ac:dyDescent="0.55000000000000004">
      <c r="D180" s="101"/>
      <c r="E180" s="99"/>
      <c r="F180" s="4">
        <v>3</v>
      </c>
      <c r="G180" s="4">
        <v>2</v>
      </c>
      <c r="H180" s="4">
        <v>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</row>
    <row r="181" spans="4:25" x14ac:dyDescent="0.5">
      <c r="D181" s="100">
        <f>IF(SUM(F181:K182)&gt;0,D179+1,"")</f>
        <v>87</v>
      </c>
      <c r="E181" s="98" t="s">
        <v>15</v>
      </c>
      <c r="F181" s="4">
        <v>3</v>
      </c>
      <c r="G181" s="4">
        <v>4</v>
      </c>
      <c r="H181" s="4">
        <v>5</v>
      </c>
      <c r="I181" s="4">
        <v>6</v>
      </c>
      <c r="J181" s="4">
        <v>7</v>
      </c>
      <c r="K181" s="4">
        <v>8</v>
      </c>
      <c r="L181" s="4">
        <v>9</v>
      </c>
      <c r="M181" s="4">
        <v>10</v>
      </c>
      <c r="N181" s="4">
        <v>11</v>
      </c>
      <c r="O181" s="4">
        <v>12</v>
      </c>
      <c r="P181" s="4">
        <v>13</v>
      </c>
      <c r="Q181" s="4">
        <v>14</v>
      </c>
      <c r="R181" s="4">
        <v>15</v>
      </c>
      <c r="S181" s="4">
        <v>16</v>
      </c>
      <c r="T181" s="4">
        <v>17</v>
      </c>
      <c r="U181" s="4">
        <v>18</v>
      </c>
      <c r="V181" s="4">
        <v>19</v>
      </c>
      <c r="W181" s="4">
        <v>20</v>
      </c>
      <c r="X181" s="4">
        <v>0</v>
      </c>
      <c r="Y181" s="4">
        <v>0</v>
      </c>
    </row>
    <row r="182" spans="4:25" ht="16.149999999999999" thickBot="1" x14ac:dyDescent="0.55000000000000004">
      <c r="D182" s="101"/>
      <c r="E182" s="99"/>
      <c r="F182" s="4">
        <v>2</v>
      </c>
      <c r="G182" s="4">
        <v>1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</row>
    <row r="183" spans="4:25" x14ac:dyDescent="0.5">
      <c r="D183" s="100">
        <f>IF(SUM(F183:K184)&gt;0,D181+1,"")</f>
        <v>88</v>
      </c>
      <c r="E183" s="98" t="s">
        <v>15</v>
      </c>
      <c r="F183" s="4">
        <v>2</v>
      </c>
      <c r="G183" s="4">
        <v>3</v>
      </c>
      <c r="H183" s="4">
        <v>4</v>
      </c>
      <c r="I183" s="4">
        <v>5</v>
      </c>
      <c r="J183" s="4">
        <v>6</v>
      </c>
      <c r="K183" s="4">
        <v>7</v>
      </c>
      <c r="L183" s="4">
        <v>8</v>
      </c>
      <c r="M183" s="4">
        <v>9</v>
      </c>
      <c r="N183" s="4">
        <v>10</v>
      </c>
      <c r="O183" s="4">
        <v>11</v>
      </c>
      <c r="P183" s="4">
        <v>12</v>
      </c>
      <c r="Q183" s="4">
        <v>13</v>
      </c>
      <c r="R183" s="4">
        <v>14</v>
      </c>
      <c r="S183" s="4">
        <v>15</v>
      </c>
      <c r="T183" s="4">
        <v>16</v>
      </c>
      <c r="U183" s="4">
        <v>17</v>
      </c>
      <c r="V183" s="4">
        <v>18</v>
      </c>
      <c r="W183" s="4">
        <v>19</v>
      </c>
      <c r="X183" s="4">
        <v>20</v>
      </c>
      <c r="Y183" s="4">
        <v>0</v>
      </c>
    </row>
    <row r="184" spans="4:25" ht="16.149999999999999" thickBot="1" x14ac:dyDescent="0.55000000000000004">
      <c r="D184" s="101"/>
      <c r="E184" s="99"/>
      <c r="F184" s="4">
        <v>1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</row>
    <row r="185" spans="4:25" x14ac:dyDescent="0.5">
      <c r="D185" s="100">
        <f>IF(SUM(F185:K186)&gt;0,D183+1,"")</f>
        <v>89</v>
      </c>
      <c r="E185" s="98" t="s">
        <v>15</v>
      </c>
      <c r="F185" s="4">
        <v>1</v>
      </c>
      <c r="G185" s="4">
        <v>2</v>
      </c>
      <c r="H185" s="4">
        <v>3</v>
      </c>
      <c r="I185" s="4">
        <v>4</v>
      </c>
      <c r="J185" s="4">
        <v>5</v>
      </c>
      <c r="K185" s="4">
        <v>6</v>
      </c>
      <c r="L185" s="4">
        <v>7</v>
      </c>
      <c r="M185" s="4">
        <v>8</v>
      </c>
      <c r="N185" s="4">
        <v>9</v>
      </c>
      <c r="O185" s="4">
        <v>10</v>
      </c>
      <c r="P185" s="4">
        <v>11</v>
      </c>
      <c r="Q185" s="4">
        <v>12</v>
      </c>
      <c r="R185" s="4">
        <v>13</v>
      </c>
      <c r="S185" s="4">
        <v>14</v>
      </c>
      <c r="T185" s="4">
        <v>15</v>
      </c>
      <c r="U185" s="4">
        <v>16</v>
      </c>
      <c r="V185" s="4">
        <v>17</v>
      </c>
      <c r="W185" s="4">
        <v>18</v>
      </c>
      <c r="X185" s="4">
        <v>19</v>
      </c>
      <c r="Y185" s="4">
        <v>20</v>
      </c>
    </row>
    <row r="186" spans="4:25" ht="16.149999999999999" thickBot="1" x14ac:dyDescent="0.55000000000000004">
      <c r="D186" s="101"/>
      <c r="E186" s="99"/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</row>
    <row r="187" spans="4:25" x14ac:dyDescent="0.5">
      <c r="D187" s="100" t="str">
        <f>IF(SUM(F187:K188)&gt;0,D185+1,"")</f>
        <v/>
      </c>
      <c r="E187" s="98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149999999999999" thickBot="1" x14ac:dyDescent="0.55000000000000004">
      <c r="D188" s="101"/>
      <c r="E188" s="9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5">
      <c r="D189" s="100" t="str">
        <f>IF(SUM(F189:K190)&gt;0,D187+1,"")</f>
        <v/>
      </c>
      <c r="E189" s="98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149999999999999" thickBot="1" x14ac:dyDescent="0.55000000000000004">
      <c r="D190" s="101"/>
      <c r="E190" s="9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5">
      <c r="D191" s="100" t="str">
        <f>IF(SUM(F191:K192)&gt;0,D189+1,"")</f>
        <v/>
      </c>
      <c r="E191" s="98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149999999999999" thickBot="1" x14ac:dyDescent="0.55000000000000004">
      <c r="D192" s="101"/>
      <c r="E192" s="9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5">
      <c r="D193" s="100" t="str">
        <f>IF(SUM(F193:K194)&gt;0,D191+1,"")</f>
        <v/>
      </c>
      <c r="E193" s="98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149999999999999" thickBot="1" x14ac:dyDescent="0.55000000000000004">
      <c r="D194" s="101"/>
      <c r="E194" s="9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5">
      <c r="D195" s="100" t="str">
        <f>IF(SUM(F195:K196)&gt;0,D193+1,"")</f>
        <v/>
      </c>
      <c r="E195" s="98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149999999999999" thickBot="1" x14ac:dyDescent="0.55000000000000004">
      <c r="D196" s="101"/>
      <c r="E196" s="9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5">
      <c r="D197" s="100" t="str">
        <f>IF(SUM(F197:K198)&gt;0,D195+1,"")</f>
        <v/>
      </c>
      <c r="E197" s="98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149999999999999" thickBot="1" x14ac:dyDescent="0.55000000000000004">
      <c r="D198" s="101"/>
      <c r="E198" s="9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5">
      <c r="D199" s="100" t="str">
        <f>IF(SUM(F199:K200)&gt;0,D197+1,"")</f>
        <v/>
      </c>
      <c r="E199" s="98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149999999999999" thickBot="1" x14ac:dyDescent="0.55000000000000004">
      <c r="D200" s="101"/>
      <c r="E200" s="9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5">
      <c r="D201" s="100" t="str">
        <f>IF(SUM(F201:K202)&gt;0,D199+1,"")</f>
        <v/>
      </c>
      <c r="E201" s="98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149999999999999" thickBot="1" x14ac:dyDescent="0.55000000000000004">
      <c r="D202" s="101"/>
      <c r="E202" s="9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5">
      <c r="D203" s="100" t="str">
        <f>IF(SUM(F203:K204)&gt;0,D201+1,"")</f>
        <v/>
      </c>
      <c r="E203" s="98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149999999999999" thickBot="1" x14ac:dyDescent="0.55000000000000004">
      <c r="D204" s="101"/>
      <c r="E204" s="9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5">
      <c r="D205" s="100" t="str">
        <f>IF(SUM(F205:K206)&gt;0,D203+1,"")</f>
        <v/>
      </c>
      <c r="E205" s="98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149999999999999" thickBot="1" x14ac:dyDescent="0.55000000000000004">
      <c r="D206" s="101"/>
      <c r="E206" s="9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205:D206"/>
    <mergeCell ref="E205:E206"/>
    <mergeCell ref="D199:D200"/>
    <mergeCell ref="E199:E200"/>
    <mergeCell ref="D201:D202"/>
    <mergeCell ref="E201:E202"/>
    <mergeCell ref="D203:D204"/>
    <mergeCell ref="E203:E204"/>
    <mergeCell ref="D193:D194"/>
    <mergeCell ref="E193:E194"/>
    <mergeCell ref="D195:D196"/>
    <mergeCell ref="E195:E196"/>
    <mergeCell ref="D197:D198"/>
    <mergeCell ref="E197:E198"/>
    <mergeCell ref="D187:D188"/>
    <mergeCell ref="E187:E188"/>
    <mergeCell ref="D189:D190"/>
    <mergeCell ref="E189:E190"/>
    <mergeCell ref="D191:D192"/>
    <mergeCell ref="E191:E192"/>
    <mergeCell ref="D181:D182"/>
    <mergeCell ref="E181:E182"/>
    <mergeCell ref="D183:D184"/>
    <mergeCell ref="E183:E184"/>
    <mergeCell ref="D185:D186"/>
    <mergeCell ref="E185:E186"/>
    <mergeCell ref="D175:D176"/>
    <mergeCell ref="E175:E176"/>
    <mergeCell ref="D177:D178"/>
    <mergeCell ref="E177:E178"/>
    <mergeCell ref="D179:D180"/>
    <mergeCell ref="E179:E180"/>
    <mergeCell ref="D169:D170"/>
    <mergeCell ref="E169:E170"/>
    <mergeCell ref="D171:D172"/>
    <mergeCell ref="E171:E172"/>
    <mergeCell ref="D173:D174"/>
    <mergeCell ref="E173:E174"/>
    <mergeCell ref="D163:D164"/>
    <mergeCell ref="E163:E164"/>
    <mergeCell ref="D165:D166"/>
    <mergeCell ref="E165:E166"/>
    <mergeCell ref="D167:D168"/>
    <mergeCell ref="E167:E168"/>
    <mergeCell ref="D157:D158"/>
    <mergeCell ref="E157:E158"/>
    <mergeCell ref="D159:D160"/>
    <mergeCell ref="E159:E160"/>
    <mergeCell ref="D161:D162"/>
    <mergeCell ref="E161:E162"/>
    <mergeCell ref="D151:D152"/>
    <mergeCell ref="E151:E152"/>
    <mergeCell ref="D153:D154"/>
    <mergeCell ref="E153:E154"/>
    <mergeCell ref="D155:D156"/>
    <mergeCell ref="E155:E156"/>
    <mergeCell ref="D145:D146"/>
    <mergeCell ref="E145:E146"/>
    <mergeCell ref="D147:D148"/>
    <mergeCell ref="E147:E148"/>
    <mergeCell ref="D149:D150"/>
    <mergeCell ref="E149:E150"/>
    <mergeCell ref="D139:D140"/>
    <mergeCell ref="E139:E140"/>
    <mergeCell ref="D141:D142"/>
    <mergeCell ref="E141:E142"/>
    <mergeCell ref="D143:D144"/>
    <mergeCell ref="E143:E144"/>
    <mergeCell ref="D133:D134"/>
    <mergeCell ref="E133:E134"/>
    <mergeCell ref="D135:D136"/>
    <mergeCell ref="E135:E136"/>
    <mergeCell ref="D137:D138"/>
    <mergeCell ref="E137:E138"/>
    <mergeCell ref="D127:D128"/>
    <mergeCell ref="E127:E128"/>
    <mergeCell ref="D129:D130"/>
    <mergeCell ref="E129:E130"/>
    <mergeCell ref="D131:D132"/>
    <mergeCell ref="E131:E132"/>
    <mergeCell ref="D121:D122"/>
    <mergeCell ref="E121:E122"/>
    <mergeCell ref="D123:D124"/>
    <mergeCell ref="E123:E124"/>
    <mergeCell ref="D125:D126"/>
    <mergeCell ref="E125:E126"/>
    <mergeCell ref="D115:D116"/>
    <mergeCell ref="E115:E116"/>
    <mergeCell ref="D117:D118"/>
    <mergeCell ref="E117:E118"/>
    <mergeCell ref="D119:D120"/>
    <mergeCell ref="E119:E120"/>
    <mergeCell ref="D109:D110"/>
    <mergeCell ref="E109:E110"/>
    <mergeCell ref="D111:D112"/>
    <mergeCell ref="E111:E112"/>
    <mergeCell ref="D113:D114"/>
    <mergeCell ref="E113:E114"/>
    <mergeCell ref="D103:D104"/>
    <mergeCell ref="E103:E104"/>
    <mergeCell ref="D105:D106"/>
    <mergeCell ref="E105:E106"/>
    <mergeCell ref="D107:D108"/>
    <mergeCell ref="E107:E108"/>
    <mergeCell ref="D97:D98"/>
    <mergeCell ref="E97:E98"/>
    <mergeCell ref="D99:D100"/>
    <mergeCell ref="E99:E100"/>
    <mergeCell ref="D101:D102"/>
    <mergeCell ref="E101:E102"/>
    <mergeCell ref="D91:D92"/>
    <mergeCell ref="E91:E92"/>
    <mergeCell ref="D93:D94"/>
    <mergeCell ref="E93:E94"/>
    <mergeCell ref="D95:D96"/>
    <mergeCell ref="E95:E96"/>
    <mergeCell ref="D85:D86"/>
    <mergeCell ref="E85:E86"/>
    <mergeCell ref="D87:D88"/>
    <mergeCell ref="E87:E88"/>
    <mergeCell ref="D89:D90"/>
    <mergeCell ref="E89:E90"/>
    <mergeCell ref="D79:D80"/>
    <mergeCell ref="E79:E80"/>
    <mergeCell ref="D81:D82"/>
    <mergeCell ref="E81:E82"/>
    <mergeCell ref="D83:D84"/>
    <mergeCell ref="E83:E84"/>
    <mergeCell ref="D73:D74"/>
    <mergeCell ref="E73:E74"/>
    <mergeCell ref="D75:D76"/>
    <mergeCell ref="E75:E76"/>
    <mergeCell ref="D77:D78"/>
    <mergeCell ref="E77:E78"/>
    <mergeCell ref="D67:D68"/>
    <mergeCell ref="E67:E68"/>
    <mergeCell ref="D69:D70"/>
    <mergeCell ref="E69:E70"/>
    <mergeCell ref="D71:D72"/>
    <mergeCell ref="E71:E72"/>
    <mergeCell ref="D61:D62"/>
    <mergeCell ref="E61:E62"/>
    <mergeCell ref="D63:D64"/>
    <mergeCell ref="E63:E64"/>
    <mergeCell ref="D65:D66"/>
    <mergeCell ref="E65:E66"/>
    <mergeCell ref="D55:D56"/>
    <mergeCell ref="E55:E56"/>
    <mergeCell ref="D57:D58"/>
    <mergeCell ref="E57:E58"/>
    <mergeCell ref="D59:D60"/>
    <mergeCell ref="E59:E60"/>
    <mergeCell ref="D49:D50"/>
    <mergeCell ref="E49:E50"/>
    <mergeCell ref="D51:D52"/>
    <mergeCell ref="E51:E52"/>
    <mergeCell ref="D53:D54"/>
    <mergeCell ref="E53:E54"/>
    <mergeCell ref="D43:D44"/>
    <mergeCell ref="E43:E44"/>
    <mergeCell ref="D45:D46"/>
    <mergeCell ref="E45:E46"/>
    <mergeCell ref="D47:D48"/>
    <mergeCell ref="E47:E48"/>
    <mergeCell ref="D37:D38"/>
    <mergeCell ref="E37:E38"/>
    <mergeCell ref="D39:D40"/>
    <mergeCell ref="E39:E40"/>
    <mergeCell ref="D41:D42"/>
    <mergeCell ref="E41:E42"/>
    <mergeCell ref="D33:D34"/>
    <mergeCell ref="E33:E34"/>
    <mergeCell ref="D35:D36"/>
    <mergeCell ref="E35:E36"/>
    <mergeCell ref="D25:D26"/>
    <mergeCell ref="E25:E26"/>
    <mergeCell ref="D27:D28"/>
    <mergeCell ref="E27:E28"/>
    <mergeCell ref="D29:D30"/>
    <mergeCell ref="E29:E30"/>
    <mergeCell ref="D23:D24"/>
    <mergeCell ref="E23:E24"/>
    <mergeCell ref="D13:D14"/>
    <mergeCell ref="E13:E14"/>
    <mergeCell ref="D15:D16"/>
    <mergeCell ref="E15:E16"/>
    <mergeCell ref="D17:D18"/>
    <mergeCell ref="E17:E18"/>
    <mergeCell ref="D31:D32"/>
    <mergeCell ref="E31:E32"/>
    <mergeCell ref="D7:D8"/>
    <mergeCell ref="E7:E8"/>
    <mergeCell ref="D9:D10"/>
    <mergeCell ref="E9:E10"/>
    <mergeCell ref="D11:D12"/>
    <mergeCell ref="E11:E12"/>
    <mergeCell ref="D19:D20"/>
    <mergeCell ref="E19:E20"/>
    <mergeCell ref="D21:D22"/>
    <mergeCell ref="E21:E22"/>
  </mergeCells>
  <conditionalFormatting sqref="F7:Y112 F4:Y5 F114:Y134 K113:Y113 F136:Y206 K135:Y135">
    <cfRule type="expression" dxfId="102" priority="54" stopIfTrue="1">
      <formula>F4=0</formula>
    </cfRule>
  </conditionalFormatting>
  <conditionalFormatting sqref="F4:Y5">
    <cfRule type="expression" dxfId="101" priority="53" stopIfTrue="1">
      <formula>F4=0</formula>
    </cfRule>
  </conditionalFormatting>
  <conditionalFormatting sqref="F113:J113">
    <cfRule type="expression" dxfId="100" priority="28" stopIfTrue="1">
      <formula>F113=0</formula>
    </cfRule>
  </conditionalFormatting>
  <conditionalFormatting sqref="F113:J113">
    <cfRule type="expression" dxfId="99" priority="27" stopIfTrue="1">
      <formula>F113=0</formula>
    </cfRule>
  </conditionalFormatting>
  <conditionalFormatting sqref="F135:J135">
    <cfRule type="expression" dxfId="98" priority="26" stopIfTrue="1">
      <formula>F135=0</formula>
    </cfRule>
  </conditionalFormatting>
  <conditionalFormatting sqref="F135:J135">
    <cfRule type="expression" dxfId="97" priority="25" stopIfTrue="1">
      <formula>F135=0</formula>
    </cfRule>
  </conditionalFormatting>
  <conditionalFormatting sqref="AA14:AT15">
    <cfRule type="expression" dxfId="96" priority="24" stopIfTrue="1">
      <formula>AA14=0</formula>
    </cfRule>
  </conditionalFormatting>
  <conditionalFormatting sqref="AA14:AT15">
    <cfRule type="expression" dxfId="95" priority="23" stopIfTrue="1">
      <formula>AA14=0</formula>
    </cfRule>
  </conditionalFormatting>
  <conditionalFormatting sqref="AA17:AT18">
    <cfRule type="expression" dxfId="94" priority="22" stopIfTrue="1">
      <formula>AA17=0</formula>
    </cfRule>
  </conditionalFormatting>
  <conditionalFormatting sqref="AA17:AT18">
    <cfRule type="expression" dxfId="93" priority="21" stopIfTrue="1">
      <formula>AA17=0</formula>
    </cfRule>
  </conditionalFormatting>
  <conditionalFormatting sqref="AA20:AT21">
    <cfRule type="expression" dxfId="92" priority="20" stopIfTrue="1">
      <formula>AA20=0</formula>
    </cfRule>
  </conditionalFormatting>
  <conditionalFormatting sqref="AA20:AT21">
    <cfRule type="expression" dxfId="91" priority="19" stopIfTrue="1">
      <formula>AA20=0</formula>
    </cfRule>
  </conditionalFormatting>
  <conditionalFormatting sqref="AA23:AT24">
    <cfRule type="expression" dxfId="90" priority="18" stopIfTrue="1">
      <formula>AA23=0</formula>
    </cfRule>
  </conditionalFormatting>
  <conditionalFormatting sqref="AA23:AT24">
    <cfRule type="expression" dxfId="89" priority="17" stopIfTrue="1">
      <formula>AA23=0</formula>
    </cfRule>
  </conditionalFormatting>
  <conditionalFormatting sqref="AA26:AT27">
    <cfRule type="expression" dxfId="88" priority="16" stopIfTrue="1">
      <formula>AA26=0</formula>
    </cfRule>
  </conditionalFormatting>
  <conditionalFormatting sqref="AA26:AT27">
    <cfRule type="expression" dxfId="87" priority="15" stopIfTrue="1">
      <formula>AA26=0</formula>
    </cfRule>
  </conditionalFormatting>
  <conditionalFormatting sqref="AA29:AT30">
    <cfRule type="expression" dxfId="86" priority="14" stopIfTrue="1">
      <formula>AA29=0</formula>
    </cfRule>
  </conditionalFormatting>
  <conditionalFormatting sqref="AA29:AT30">
    <cfRule type="expression" dxfId="85" priority="13" stopIfTrue="1">
      <formula>AA29=0</formula>
    </cfRule>
  </conditionalFormatting>
  <conditionalFormatting sqref="AA32:AT33">
    <cfRule type="expression" dxfId="84" priority="12" stopIfTrue="1">
      <formula>AA32=0</formula>
    </cfRule>
  </conditionalFormatting>
  <conditionalFormatting sqref="AA32:AT33">
    <cfRule type="expression" dxfId="83" priority="11" stopIfTrue="1">
      <formula>AA32=0</formula>
    </cfRule>
  </conditionalFormatting>
  <conditionalFormatting sqref="AA35:AT36">
    <cfRule type="expression" dxfId="82" priority="10" stopIfTrue="1">
      <formula>AA35=0</formula>
    </cfRule>
  </conditionalFormatting>
  <conditionalFormatting sqref="AA35:AT36">
    <cfRule type="expression" dxfId="81" priority="9" stopIfTrue="1">
      <formula>AA35=0</formula>
    </cfRule>
  </conditionalFormatting>
  <conditionalFormatting sqref="AA38:AT39">
    <cfRule type="expression" dxfId="80" priority="8" stopIfTrue="1">
      <formula>AA38=0</formula>
    </cfRule>
  </conditionalFormatting>
  <conditionalFormatting sqref="AA38:AT39">
    <cfRule type="expression" dxfId="79" priority="7" stopIfTrue="1">
      <formula>AA38=0</formula>
    </cfRule>
  </conditionalFormatting>
  <conditionalFormatting sqref="AA41:AT42">
    <cfRule type="expression" dxfId="78" priority="6" stopIfTrue="1">
      <formula>AA41=0</formula>
    </cfRule>
  </conditionalFormatting>
  <conditionalFormatting sqref="AA41:AT42">
    <cfRule type="expression" dxfId="77" priority="5" stopIfTrue="1">
      <formula>AA41=0</formula>
    </cfRule>
  </conditionalFormatting>
  <conditionalFormatting sqref="AA44:AT45">
    <cfRule type="expression" dxfId="76" priority="4" stopIfTrue="1">
      <formula>AA44=0</formula>
    </cfRule>
  </conditionalFormatting>
  <conditionalFormatting sqref="AA44:AT45">
    <cfRule type="expression" dxfId="75" priority="3" stopIfTrue="1">
      <formula>AA44=0</formula>
    </cfRule>
  </conditionalFormatting>
  <conditionalFormatting sqref="AA47:AT48">
    <cfRule type="expression" dxfId="74" priority="2" stopIfTrue="1">
      <formula>AA47=0</formula>
    </cfRule>
  </conditionalFormatting>
  <conditionalFormatting sqref="AA47:AT48">
    <cfRule type="expression" dxfId="73" priority="1" stopIfTrue="1">
      <formula>AA47=0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E9F6-6FF9-4BB5-AABE-13A0E0E9ADF4}">
  <sheetPr codeName="Hoja1"/>
  <dimension ref="B3:F15"/>
  <sheetViews>
    <sheetView zoomScale="160" zoomScaleNormal="160" workbookViewId="0">
      <selection activeCell="B18" sqref="B18"/>
    </sheetView>
  </sheetViews>
  <sheetFormatPr baseColWidth="10" defaultRowHeight="15.75" x14ac:dyDescent="0.5"/>
  <cols>
    <col min="1" max="1" width="2.375" customWidth="1"/>
  </cols>
  <sheetData>
    <row r="3" spans="2:6" x14ac:dyDescent="0.5">
      <c r="B3" s="12" t="s">
        <v>31</v>
      </c>
      <c r="C3" t="s">
        <v>35</v>
      </c>
      <c r="D3" s="12" t="s">
        <v>32</v>
      </c>
      <c r="E3" s="12" t="s">
        <v>33</v>
      </c>
      <c r="F3" s="12" t="s">
        <v>34</v>
      </c>
    </row>
    <row r="4" spans="2:6" x14ac:dyDescent="0.5">
      <c r="B4">
        <v>100</v>
      </c>
      <c r="C4">
        <v>4</v>
      </c>
      <c r="D4">
        <v>1492</v>
      </c>
      <c r="E4">
        <v>845</v>
      </c>
      <c r="F4" s="13">
        <f t="shared" ref="F4:F15" si="0">(D4-E4)/D4</f>
        <v>0.4336461126005362</v>
      </c>
    </row>
    <row r="5" spans="2:6" x14ac:dyDescent="0.5">
      <c r="B5">
        <v>100</v>
      </c>
      <c r="C5">
        <v>4</v>
      </c>
      <c r="D5">
        <v>1485</v>
      </c>
      <c r="E5">
        <v>834</v>
      </c>
      <c r="F5" s="13">
        <f t="shared" si="0"/>
        <v>0.43838383838383838</v>
      </c>
    </row>
    <row r="6" spans="2:6" x14ac:dyDescent="0.5">
      <c r="B6">
        <v>100</v>
      </c>
      <c r="C6">
        <v>4</v>
      </c>
      <c r="D6">
        <v>1486</v>
      </c>
      <c r="E6">
        <v>833</v>
      </c>
      <c r="F6" s="13">
        <f t="shared" si="0"/>
        <v>0.43943472409152085</v>
      </c>
    </row>
    <row r="7" spans="2:6" x14ac:dyDescent="0.5">
      <c r="B7">
        <v>500</v>
      </c>
      <c r="C7">
        <v>11</v>
      </c>
      <c r="D7">
        <v>32262</v>
      </c>
      <c r="E7">
        <v>8035</v>
      </c>
      <c r="F7" s="13">
        <f t="shared" si="0"/>
        <v>0.75094538466307115</v>
      </c>
    </row>
    <row r="8" spans="2:6" x14ac:dyDescent="0.5">
      <c r="B8">
        <v>500</v>
      </c>
      <c r="C8">
        <v>11</v>
      </c>
      <c r="D8">
        <v>32712</v>
      </c>
      <c r="E8">
        <v>8214</v>
      </c>
      <c r="F8" s="13">
        <f t="shared" si="0"/>
        <v>0.74889948642699922</v>
      </c>
    </row>
    <row r="9" spans="2:6" x14ac:dyDescent="0.5">
      <c r="B9">
        <v>500</v>
      </c>
      <c r="C9">
        <v>11</v>
      </c>
      <c r="D9">
        <v>31965</v>
      </c>
      <c r="E9">
        <v>8154</v>
      </c>
      <c r="F9" s="13">
        <f t="shared" si="0"/>
        <v>0.74490849366494605</v>
      </c>
    </row>
    <row r="10" spans="2:6" x14ac:dyDescent="0.5">
      <c r="B10">
        <v>500</v>
      </c>
      <c r="C10">
        <v>11</v>
      </c>
      <c r="D10">
        <v>33171</v>
      </c>
      <c r="E10">
        <v>8258</v>
      </c>
      <c r="F10" s="13">
        <f t="shared" si="0"/>
        <v>0.75104760182086761</v>
      </c>
    </row>
    <row r="11" spans="2:6" x14ac:dyDescent="0.5">
      <c r="B11">
        <v>1000</v>
      </c>
      <c r="C11">
        <v>20</v>
      </c>
      <c r="D11">
        <v>122295</v>
      </c>
      <c r="E11">
        <v>21197</v>
      </c>
      <c r="F11" s="13">
        <f t="shared" si="0"/>
        <v>0.82667320822601087</v>
      </c>
    </row>
    <row r="12" spans="2:6" x14ac:dyDescent="0.5">
      <c r="B12">
        <v>2000</v>
      </c>
      <c r="C12">
        <v>20</v>
      </c>
      <c r="D12">
        <v>496560</v>
      </c>
      <c r="E12">
        <v>59754</v>
      </c>
      <c r="F12" s="13">
        <f t="shared" si="0"/>
        <v>0.87966408893185111</v>
      </c>
    </row>
    <row r="13" spans="2:6" x14ac:dyDescent="0.5">
      <c r="B13">
        <v>2000</v>
      </c>
      <c r="C13">
        <v>25</v>
      </c>
      <c r="D13">
        <v>507638</v>
      </c>
      <c r="E13">
        <v>58787</v>
      </c>
      <c r="F13" s="13">
        <f t="shared" si="0"/>
        <v>0.88419503662058396</v>
      </c>
    </row>
    <row r="14" spans="2:6" x14ac:dyDescent="0.5">
      <c r="B14">
        <v>2000</v>
      </c>
      <c r="C14">
        <v>23</v>
      </c>
      <c r="D14">
        <v>495353</v>
      </c>
      <c r="E14">
        <v>58502</v>
      </c>
      <c r="F14" s="13">
        <f t="shared" si="0"/>
        <v>0.88189836338934058</v>
      </c>
    </row>
    <row r="15" spans="2:6" x14ac:dyDescent="0.5">
      <c r="B15">
        <v>3000</v>
      </c>
      <c r="C15">
        <v>23</v>
      </c>
      <c r="D15">
        <v>1118792</v>
      </c>
      <c r="E15">
        <v>110493</v>
      </c>
      <c r="F15" s="13">
        <f t="shared" si="0"/>
        <v>0.90123901493753977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65A5D-FC37-4C23-A45A-9C64C576F9F5}">
  <sheetPr codeName="Hoja2"/>
  <dimension ref="B4:O33"/>
  <sheetViews>
    <sheetView zoomScale="150" zoomScaleNormal="150" workbookViewId="0"/>
  </sheetViews>
  <sheetFormatPr baseColWidth="10" defaultColWidth="2.875" defaultRowHeight="12.75" x14ac:dyDescent="0.35"/>
  <cols>
    <col min="1" max="1" width="2.875" style="14"/>
    <col min="2" max="2" width="5.125" style="14" customWidth="1"/>
    <col min="3" max="3" width="4.125" style="14" customWidth="1"/>
    <col min="4" max="6" width="5.5" style="14" customWidth="1"/>
    <col min="7" max="7" width="7.625" style="14" bestFit="1" customWidth="1"/>
    <col min="8" max="8" width="5.875" style="14" customWidth="1"/>
    <col min="9" max="27" width="2.875" style="14"/>
    <col min="28" max="28" width="5.875" style="14" customWidth="1"/>
    <col min="29" max="32" width="6.125" style="14" customWidth="1"/>
    <col min="33" max="996" width="2.875" style="14"/>
    <col min="997" max="1024" width="10.625" style="14" customWidth="1"/>
    <col min="1025" max="16384" width="2.875" style="14"/>
  </cols>
  <sheetData>
    <row r="4" spans="2:15" ht="13.15" x14ac:dyDescent="0.4">
      <c r="B4" s="14" t="s">
        <v>31</v>
      </c>
      <c r="C4" s="14">
        <v>20</v>
      </c>
      <c r="D4" s="14" t="s">
        <v>46</v>
      </c>
      <c r="O4" s="21" t="s">
        <v>0</v>
      </c>
    </row>
    <row r="5" spans="2:15" ht="13.15" x14ac:dyDescent="0.4">
      <c r="B5" s="14" t="s">
        <v>35</v>
      </c>
      <c r="C5" s="14">
        <v>4</v>
      </c>
      <c r="D5" s="14" t="s">
        <v>45</v>
      </c>
      <c r="O5" s="21" t="s">
        <v>1</v>
      </c>
    </row>
    <row r="6" spans="2:15" ht="13.15" x14ac:dyDescent="0.4">
      <c r="B6" s="14" t="s">
        <v>44</v>
      </c>
      <c r="C6" s="20">
        <f>C4/C5</f>
        <v>5</v>
      </c>
      <c r="D6" s="14" t="s">
        <v>43</v>
      </c>
      <c r="O6" s="21" t="s">
        <v>2</v>
      </c>
    </row>
    <row r="7" spans="2:15" ht="13.15" x14ac:dyDescent="0.4">
      <c r="B7" s="14" t="s">
        <v>37</v>
      </c>
      <c r="C7" s="14">
        <f>INT(C6)</f>
        <v>5</v>
      </c>
      <c r="D7" s="14" t="s">
        <v>42</v>
      </c>
      <c r="O7" s="21" t="s">
        <v>3</v>
      </c>
    </row>
    <row r="8" spans="2:15" ht="13.15" x14ac:dyDescent="0.4">
      <c r="O8" s="21" t="s">
        <v>4</v>
      </c>
    </row>
    <row r="9" spans="2:15" ht="13.15" x14ac:dyDescent="0.4">
      <c r="D9" s="14" t="s">
        <v>41</v>
      </c>
      <c r="G9" s="106" t="s">
        <v>40</v>
      </c>
      <c r="O9" s="21" t="s">
        <v>5</v>
      </c>
    </row>
    <row r="10" spans="2:15" ht="13.15" x14ac:dyDescent="0.4">
      <c r="D10" s="19" t="s">
        <v>39</v>
      </c>
      <c r="E10" s="19" t="s">
        <v>38</v>
      </c>
      <c r="F10" s="22" t="s">
        <v>37</v>
      </c>
      <c r="G10" s="106"/>
      <c r="O10" s="21" t="s">
        <v>6</v>
      </c>
    </row>
    <row r="11" spans="2:15" ht="13.15" x14ac:dyDescent="0.4">
      <c r="B11" s="16" t="s">
        <v>36</v>
      </c>
      <c r="C11" s="16">
        <v>1</v>
      </c>
      <c r="D11" s="16">
        <v>1</v>
      </c>
      <c r="E11" s="18">
        <f>C7</f>
        <v>5</v>
      </c>
      <c r="F11" s="22">
        <f>E11-D11+1</f>
        <v>5</v>
      </c>
      <c r="G11" s="16">
        <f>$C$4-E11</f>
        <v>15</v>
      </c>
      <c r="O11" s="21" t="s">
        <v>7</v>
      </c>
    </row>
    <row r="12" spans="2:15" ht="13.15" x14ac:dyDescent="0.4">
      <c r="B12" s="16" t="s">
        <v>36</v>
      </c>
      <c r="C12" s="16">
        <v>2</v>
      </c>
      <c r="D12" s="16">
        <f>E11+1</f>
        <v>6</v>
      </c>
      <c r="E12" s="17">
        <f>$E$11*C12</f>
        <v>10</v>
      </c>
      <c r="F12" s="22">
        <f>E12-D12+1</f>
        <v>5</v>
      </c>
      <c r="G12" s="16">
        <f>$C$4-E12</f>
        <v>10</v>
      </c>
      <c r="O12" s="21" t="s">
        <v>8</v>
      </c>
    </row>
    <row r="13" spans="2:15" ht="13.15" x14ac:dyDescent="0.4">
      <c r="B13" s="16" t="s">
        <v>36</v>
      </c>
      <c r="C13" s="16">
        <v>3</v>
      </c>
      <c r="D13" s="16">
        <f>E12+1</f>
        <v>11</v>
      </c>
      <c r="E13" s="17">
        <f>$E$11*C13</f>
        <v>15</v>
      </c>
      <c r="F13" s="22">
        <f>E13-D13+1</f>
        <v>5</v>
      </c>
      <c r="G13" s="16">
        <f>$C$4-E13</f>
        <v>5</v>
      </c>
      <c r="O13" s="21" t="s">
        <v>9</v>
      </c>
    </row>
    <row r="14" spans="2:15" ht="13.15" x14ac:dyDescent="0.4">
      <c r="B14" s="16" t="s">
        <v>36</v>
      </c>
      <c r="C14" s="16">
        <v>4</v>
      </c>
      <c r="D14" s="16">
        <f>E13+1</f>
        <v>16</v>
      </c>
      <c r="E14" s="15">
        <f>$E$11*C14</f>
        <v>20</v>
      </c>
      <c r="F14" s="22">
        <f>E14-D14+1</f>
        <v>5</v>
      </c>
      <c r="G14" s="16">
        <f>$C$4-E14</f>
        <v>0</v>
      </c>
      <c r="O14" s="21" t="s">
        <v>10</v>
      </c>
    </row>
    <row r="15" spans="2:15" x14ac:dyDescent="0.35">
      <c r="F15" s="15">
        <f>SUM(F11:F14)</f>
        <v>20</v>
      </c>
    </row>
    <row r="21" spans="2:7" x14ac:dyDescent="0.35">
      <c r="B21" s="14" t="s">
        <v>31</v>
      </c>
      <c r="C21" s="14">
        <v>117</v>
      </c>
      <c r="D21" s="14" t="s">
        <v>46</v>
      </c>
    </row>
    <row r="22" spans="2:7" x14ac:dyDescent="0.35">
      <c r="B22" s="14" t="s">
        <v>35</v>
      </c>
      <c r="C22" s="14">
        <v>5</v>
      </c>
      <c r="D22" s="14" t="s">
        <v>45</v>
      </c>
    </row>
    <row r="23" spans="2:7" x14ac:dyDescent="0.35">
      <c r="B23" s="14" t="s">
        <v>44</v>
      </c>
      <c r="C23" s="20">
        <f>C21/C22</f>
        <v>23.4</v>
      </c>
      <c r="D23" s="14" t="s">
        <v>43</v>
      </c>
    </row>
    <row r="24" spans="2:7" x14ac:dyDescent="0.35">
      <c r="B24" s="14" t="s">
        <v>37</v>
      </c>
      <c r="C24" s="14">
        <f>INT(C23)</f>
        <v>23</v>
      </c>
      <c r="D24" s="14" t="s">
        <v>42</v>
      </c>
    </row>
    <row r="26" spans="2:7" ht="12.6" customHeight="1" x14ac:dyDescent="0.35">
      <c r="D26" s="14" t="s">
        <v>41</v>
      </c>
      <c r="G26" s="106" t="s">
        <v>40</v>
      </c>
    </row>
    <row r="27" spans="2:7" x14ac:dyDescent="0.35">
      <c r="D27" s="19" t="s">
        <v>39</v>
      </c>
      <c r="E27" s="19" t="s">
        <v>38</v>
      </c>
      <c r="F27" s="16" t="s">
        <v>37</v>
      </c>
      <c r="G27" s="106"/>
    </row>
    <row r="28" spans="2:7" x14ac:dyDescent="0.35">
      <c r="B28" s="16" t="s">
        <v>36</v>
      </c>
      <c r="C28" s="16">
        <v>1</v>
      </c>
      <c r="D28" s="16">
        <v>1</v>
      </c>
      <c r="E28" s="18">
        <f>C24</f>
        <v>23</v>
      </c>
      <c r="F28" s="16">
        <f>E28-D28+1</f>
        <v>23</v>
      </c>
      <c r="G28" s="16">
        <f>$C$21-E28</f>
        <v>94</v>
      </c>
    </row>
    <row r="29" spans="2:7" x14ac:dyDescent="0.35">
      <c r="B29" s="16" t="s">
        <v>36</v>
      </c>
      <c r="C29" s="16">
        <v>2</v>
      </c>
      <c r="D29" s="16">
        <f>E28+1</f>
        <v>24</v>
      </c>
      <c r="E29" s="17">
        <f>$E$28*C29</f>
        <v>46</v>
      </c>
      <c r="F29" s="16">
        <f>E29-D29+1</f>
        <v>23</v>
      </c>
      <c r="G29" s="16">
        <f>$C$21-E29</f>
        <v>71</v>
      </c>
    </row>
    <row r="30" spans="2:7" x14ac:dyDescent="0.35">
      <c r="B30" s="16" t="s">
        <v>36</v>
      </c>
      <c r="C30" s="16">
        <v>3</v>
      </c>
      <c r="D30" s="16">
        <f>E29+1</f>
        <v>47</v>
      </c>
      <c r="E30" s="17">
        <f>$E$28*C30</f>
        <v>69</v>
      </c>
      <c r="F30" s="16">
        <f>E30-D30+1</f>
        <v>23</v>
      </c>
      <c r="G30" s="16">
        <f>$C$21-E30</f>
        <v>48</v>
      </c>
    </row>
    <row r="31" spans="2:7" x14ac:dyDescent="0.35">
      <c r="B31" s="16" t="s">
        <v>36</v>
      </c>
      <c r="C31" s="16">
        <v>4</v>
      </c>
      <c r="D31" s="16">
        <f>E30+1</f>
        <v>70</v>
      </c>
      <c r="E31" s="17">
        <f>$E$28*C31</f>
        <v>92</v>
      </c>
      <c r="F31" s="16">
        <f>E31-D31+1</f>
        <v>23</v>
      </c>
      <c r="G31" s="16">
        <f>$C$21-E31</f>
        <v>25</v>
      </c>
    </row>
    <row r="32" spans="2:7" x14ac:dyDescent="0.35">
      <c r="B32" s="16" t="s">
        <v>36</v>
      </c>
      <c r="C32" s="16">
        <v>5</v>
      </c>
      <c r="D32" s="16">
        <f>E31+1</f>
        <v>93</v>
      </c>
      <c r="E32" s="15">
        <f>C21</f>
        <v>117</v>
      </c>
      <c r="F32" s="16">
        <f>E32-D32+1</f>
        <v>25</v>
      </c>
      <c r="G32" s="16">
        <f>$C$21-E32</f>
        <v>0</v>
      </c>
    </row>
    <row r="33" spans="6:6" x14ac:dyDescent="0.35">
      <c r="F33" s="15">
        <f>SUM(F28:F32)</f>
        <v>117</v>
      </c>
    </row>
  </sheetData>
  <mergeCells count="2">
    <mergeCell ref="G9:G10"/>
    <mergeCell ref="G26:G27"/>
  </mergeCell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BAF2-9BAC-463B-92B5-24160CF943B3}">
  <sheetPr codeName="Sheet4"/>
  <dimension ref="A1:HB124"/>
  <sheetViews>
    <sheetView showGridLines="0" zoomScale="95" zoomScaleNormal="95" workbookViewId="0">
      <selection activeCell="F4" sqref="F4"/>
    </sheetView>
  </sheetViews>
  <sheetFormatPr baseColWidth="10" defaultColWidth="3.5" defaultRowHeight="15.75" x14ac:dyDescent="0.5"/>
  <cols>
    <col min="12" max="12" width="3.5" style="3"/>
  </cols>
  <sheetData>
    <row r="1" spans="1:210" x14ac:dyDescent="0.5">
      <c r="A1">
        <v>58</v>
      </c>
      <c r="B1" s="2"/>
      <c r="C1" s="2"/>
      <c r="D1" s="2"/>
      <c r="E1" s="2"/>
    </row>
    <row r="2" spans="1:210" x14ac:dyDescent="0.5">
      <c r="A2" s="5">
        <v>64</v>
      </c>
      <c r="B2" s="2"/>
      <c r="C2" s="2"/>
      <c r="D2" s="2"/>
      <c r="E2" s="2"/>
      <c r="L2"/>
    </row>
    <row r="3" spans="1:210" ht="16.149999999999999" thickBot="1" x14ac:dyDescent="0.55000000000000004">
      <c r="D3" s="2"/>
      <c r="F3" s="25"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O3" s="25">
        <v>10</v>
      </c>
      <c r="P3" s="25">
        <v>11</v>
      </c>
      <c r="Q3" s="25">
        <v>12</v>
      </c>
      <c r="R3" s="25">
        <v>13</v>
      </c>
      <c r="S3" s="25">
        <v>14</v>
      </c>
      <c r="T3" s="25">
        <v>15</v>
      </c>
      <c r="U3" s="25">
        <v>16</v>
      </c>
      <c r="V3" s="25">
        <v>17</v>
      </c>
      <c r="W3" s="25">
        <v>18</v>
      </c>
      <c r="X3" s="25">
        <v>19</v>
      </c>
      <c r="Y3" s="25">
        <v>20</v>
      </c>
      <c r="Z3" s="25">
        <v>21</v>
      </c>
      <c r="AA3" s="25">
        <v>22</v>
      </c>
      <c r="AB3" s="25">
        <v>23</v>
      </c>
      <c r="AC3" s="25">
        <v>24</v>
      </c>
      <c r="AD3" s="25">
        <v>25</v>
      </c>
      <c r="AE3" s="25">
        <v>26</v>
      </c>
      <c r="AF3" s="25">
        <v>27</v>
      </c>
      <c r="AG3" s="25">
        <v>28</v>
      </c>
      <c r="AH3" s="25">
        <v>29</v>
      </c>
      <c r="AI3" s="25">
        <v>30</v>
      </c>
      <c r="AJ3" s="25">
        <v>31</v>
      </c>
      <c r="AK3" s="25">
        <v>32</v>
      </c>
      <c r="AL3" s="25">
        <v>33</v>
      </c>
      <c r="AM3" s="25">
        <v>34</v>
      </c>
      <c r="AN3" s="25">
        <v>35</v>
      </c>
      <c r="AO3" s="25">
        <v>36</v>
      </c>
      <c r="AP3" s="25">
        <v>37</v>
      </c>
      <c r="AQ3" s="25">
        <v>38</v>
      </c>
      <c r="AR3" s="25">
        <v>39</v>
      </c>
      <c r="AS3" s="25">
        <v>40</v>
      </c>
      <c r="AT3" s="25">
        <v>41</v>
      </c>
      <c r="AU3" s="25">
        <v>42</v>
      </c>
      <c r="AV3" s="25">
        <v>43</v>
      </c>
      <c r="AW3" s="25">
        <v>44</v>
      </c>
      <c r="AX3" s="25">
        <v>45</v>
      </c>
      <c r="AY3" s="25">
        <v>46</v>
      </c>
      <c r="AZ3" s="25">
        <v>47</v>
      </c>
      <c r="BA3" s="25">
        <v>48</v>
      </c>
      <c r="BB3" s="25">
        <v>49</v>
      </c>
      <c r="BC3" s="25">
        <v>50</v>
      </c>
      <c r="BD3" s="25">
        <v>51</v>
      </c>
      <c r="BE3" s="25">
        <v>52</v>
      </c>
      <c r="BF3" s="25">
        <v>53</v>
      </c>
      <c r="BG3" s="25">
        <v>54</v>
      </c>
      <c r="BH3" s="25">
        <v>55</v>
      </c>
      <c r="BI3" s="25">
        <v>56</v>
      </c>
      <c r="BJ3" s="25">
        <v>57</v>
      </c>
      <c r="BK3" s="25">
        <v>58</v>
      </c>
      <c r="BL3" s="25">
        <v>59</v>
      </c>
      <c r="BM3" s="25">
        <v>60</v>
      </c>
      <c r="BN3" s="25">
        <v>61</v>
      </c>
      <c r="BO3" s="25">
        <v>62</v>
      </c>
      <c r="BP3" s="25">
        <v>63</v>
      </c>
      <c r="BQ3" s="25">
        <v>64</v>
      </c>
      <c r="BR3" s="25"/>
      <c r="BS3" s="23"/>
      <c r="BW3" s="25">
        <v>1</v>
      </c>
      <c r="BX3" s="25">
        <v>2</v>
      </c>
      <c r="BY3" s="25">
        <v>3</v>
      </c>
      <c r="BZ3" s="25">
        <v>4</v>
      </c>
      <c r="CA3" s="25">
        <v>5</v>
      </c>
      <c r="CB3" s="25">
        <v>6</v>
      </c>
      <c r="CC3" s="25">
        <v>7</v>
      </c>
      <c r="CD3" s="25">
        <v>8</v>
      </c>
      <c r="CE3" s="25">
        <v>9</v>
      </c>
      <c r="CF3" s="25">
        <v>10</v>
      </c>
      <c r="CG3" s="25">
        <v>11</v>
      </c>
      <c r="CH3" s="25">
        <v>12</v>
      </c>
      <c r="CI3" s="25">
        <v>13</v>
      </c>
      <c r="CJ3" s="25">
        <v>14</v>
      </c>
      <c r="CK3" s="25">
        <v>15</v>
      </c>
      <c r="CL3" s="25">
        <v>16</v>
      </c>
      <c r="CM3" s="25">
        <v>17</v>
      </c>
      <c r="CN3" s="25">
        <v>18</v>
      </c>
      <c r="CO3" s="25">
        <v>19</v>
      </c>
      <c r="CP3" s="25">
        <v>20</v>
      </c>
      <c r="CQ3" s="25">
        <v>21</v>
      </c>
      <c r="CR3" s="25">
        <v>22</v>
      </c>
      <c r="CS3" s="25">
        <v>23</v>
      </c>
      <c r="CT3" s="25">
        <v>24</v>
      </c>
      <c r="CU3" s="25">
        <v>25</v>
      </c>
      <c r="CV3" s="25">
        <v>26</v>
      </c>
      <c r="CW3" s="25">
        <v>27</v>
      </c>
      <c r="CX3" s="25">
        <v>28</v>
      </c>
      <c r="CY3" s="25">
        <v>29</v>
      </c>
      <c r="CZ3" s="25">
        <v>30</v>
      </c>
      <c r="DA3" s="25">
        <v>31</v>
      </c>
      <c r="DB3" s="25">
        <v>32</v>
      </c>
      <c r="DC3" s="25">
        <v>33</v>
      </c>
      <c r="DD3" s="25">
        <v>34</v>
      </c>
      <c r="DE3" s="25">
        <v>35</v>
      </c>
      <c r="DF3" s="25">
        <v>36</v>
      </c>
      <c r="DG3" s="25">
        <v>37</v>
      </c>
      <c r="DH3" s="25">
        <v>38</v>
      </c>
      <c r="DI3" s="25">
        <v>39</v>
      </c>
      <c r="DJ3" s="25">
        <v>40</v>
      </c>
      <c r="DK3" s="25">
        <v>41</v>
      </c>
      <c r="DL3" s="25">
        <v>42</v>
      </c>
      <c r="DM3" s="25">
        <v>43</v>
      </c>
      <c r="DN3" s="25">
        <v>44</v>
      </c>
      <c r="DO3" s="25">
        <v>45</v>
      </c>
      <c r="DP3" s="25">
        <v>46</v>
      </c>
      <c r="DQ3" s="25">
        <v>47</v>
      </c>
      <c r="DR3" s="25">
        <v>48</v>
      </c>
      <c r="DS3" s="25">
        <v>49</v>
      </c>
      <c r="DT3" s="25">
        <v>50</v>
      </c>
      <c r="DU3" s="25">
        <v>51</v>
      </c>
      <c r="DV3" s="25">
        <v>52</v>
      </c>
      <c r="DW3" s="25">
        <v>53</v>
      </c>
      <c r="DX3" s="25">
        <v>54</v>
      </c>
      <c r="DY3" s="25">
        <v>55</v>
      </c>
      <c r="DZ3" s="25">
        <v>56</v>
      </c>
      <c r="EA3" s="25">
        <v>57</v>
      </c>
      <c r="EB3" s="25">
        <v>58</v>
      </c>
      <c r="EC3" s="25">
        <v>59</v>
      </c>
      <c r="ED3" s="25">
        <v>60</v>
      </c>
      <c r="EE3" s="25">
        <v>61</v>
      </c>
      <c r="EF3" s="25">
        <v>62</v>
      </c>
      <c r="EG3" s="25">
        <v>63</v>
      </c>
      <c r="EH3" s="25">
        <v>64</v>
      </c>
      <c r="EQ3" s="25">
        <v>1</v>
      </c>
      <c r="ER3" s="25">
        <v>2</v>
      </c>
      <c r="ES3" s="25">
        <v>3</v>
      </c>
      <c r="ET3" s="25">
        <v>4</v>
      </c>
      <c r="EU3" s="25">
        <v>5</v>
      </c>
      <c r="EV3" s="25">
        <v>6</v>
      </c>
      <c r="EW3" s="25">
        <v>7</v>
      </c>
      <c r="EX3" s="25">
        <v>8</v>
      </c>
      <c r="EY3" s="25">
        <v>9</v>
      </c>
      <c r="EZ3" s="25">
        <v>10</v>
      </c>
      <c r="FA3" s="25">
        <v>11</v>
      </c>
      <c r="FB3" s="25">
        <v>12</v>
      </c>
      <c r="FC3" s="25">
        <v>13</v>
      </c>
      <c r="FD3" s="25">
        <v>14</v>
      </c>
      <c r="FE3" s="25">
        <v>15</v>
      </c>
      <c r="FF3" s="25">
        <v>16</v>
      </c>
      <c r="FG3" s="25">
        <v>17</v>
      </c>
      <c r="FH3" s="25">
        <v>18</v>
      </c>
      <c r="FI3" s="25">
        <v>19</v>
      </c>
      <c r="FJ3" s="25">
        <v>20</v>
      </c>
      <c r="FK3" s="25">
        <v>21</v>
      </c>
      <c r="FL3" s="25">
        <v>22</v>
      </c>
      <c r="FM3" s="25">
        <v>23</v>
      </c>
      <c r="FN3" s="25">
        <v>24</v>
      </c>
      <c r="FO3" s="25">
        <v>25</v>
      </c>
      <c r="FP3" s="25">
        <v>26</v>
      </c>
      <c r="FQ3" s="25">
        <v>27</v>
      </c>
      <c r="FR3" s="25">
        <v>28</v>
      </c>
      <c r="FS3" s="25">
        <v>29</v>
      </c>
      <c r="FT3" s="25">
        <v>30</v>
      </c>
      <c r="FU3" s="25">
        <v>31</v>
      </c>
      <c r="FV3" s="25">
        <v>32</v>
      </c>
      <c r="FW3" s="25">
        <v>33</v>
      </c>
      <c r="FX3" s="25">
        <v>34</v>
      </c>
      <c r="FY3" s="25">
        <v>35</v>
      </c>
      <c r="FZ3" s="25">
        <v>36</v>
      </c>
      <c r="GA3" s="25">
        <v>37</v>
      </c>
      <c r="GB3" s="25">
        <v>38</v>
      </c>
      <c r="GC3" s="25">
        <v>39</v>
      </c>
      <c r="GD3" s="25">
        <v>40</v>
      </c>
      <c r="GE3" s="25">
        <v>41</v>
      </c>
      <c r="GF3" s="25">
        <v>42</v>
      </c>
      <c r="GG3" s="25">
        <v>43</v>
      </c>
      <c r="GH3" s="25">
        <v>44</v>
      </c>
      <c r="GI3" s="25">
        <v>45</v>
      </c>
      <c r="GJ3" s="25">
        <v>46</v>
      </c>
      <c r="GK3" s="25">
        <v>47</v>
      </c>
      <c r="GL3" s="25">
        <v>48</v>
      </c>
      <c r="GM3" s="25">
        <v>49</v>
      </c>
      <c r="GN3" s="25">
        <v>50</v>
      </c>
      <c r="GO3" s="25">
        <v>51</v>
      </c>
      <c r="GP3" s="25">
        <v>52</v>
      </c>
      <c r="GQ3" s="25">
        <v>53</v>
      </c>
      <c r="GR3" s="25">
        <v>54</v>
      </c>
      <c r="GS3" s="25">
        <v>55</v>
      </c>
      <c r="GT3" s="25">
        <v>56</v>
      </c>
      <c r="GU3" s="25">
        <v>57</v>
      </c>
      <c r="GV3" s="25">
        <v>58</v>
      </c>
      <c r="GW3" s="25">
        <v>59</v>
      </c>
      <c r="GX3" s="25">
        <v>60</v>
      </c>
      <c r="GY3" s="25">
        <v>61</v>
      </c>
      <c r="GZ3" s="25">
        <v>62</v>
      </c>
      <c r="HA3" s="25">
        <v>63</v>
      </c>
      <c r="HB3" s="25">
        <v>64</v>
      </c>
    </row>
    <row r="4" spans="1:210" ht="16.149999999999999" thickTop="1" x14ac:dyDescent="0.5">
      <c r="F4" s="4">
        <v>62</v>
      </c>
      <c r="G4" s="4">
        <v>46</v>
      </c>
      <c r="H4" s="4">
        <v>63</v>
      </c>
      <c r="I4" s="4">
        <v>39</v>
      </c>
      <c r="J4" s="4">
        <v>48</v>
      </c>
      <c r="K4" s="4">
        <v>35</v>
      </c>
      <c r="L4" s="4">
        <v>21</v>
      </c>
      <c r="M4" s="4">
        <v>24</v>
      </c>
      <c r="N4" s="4">
        <v>43</v>
      </c>
      <c r="O4" s="4">
        <v>25</v>
      </c>
      <c r="P4" s="4">
        <v>60</v>
      </c>
      <c r="Q4" s="4">
        <v>52</v>
      </c>
      <c r="R4" s="4">
        <v>58</v>
      </c>
      <c r="S4" s="4">
        <v>36</v>
      </c>
      <c r="T4" s="4">
        <v>42</v>
      </c>
      <c r="U4" s="4">
        <v>57</v>
      </c>
      <c r="V4" s="4">
        <v>23</v>
      </c>
      <c r="W4" s="4">
        <v>50</v>
      </c>
      <c r="X4" s="4">
        <v>30</v>
      </c>
      <c r="Y4" s="4">
        <v>22</v>
      </c>
      <c r="Z4" s="4">
        <v>37</v>
      </c>
      <c r="AA4" s="4">
        <v>47</v>
      </c>
      <c r="AB4" s="4">
        <v>59</v>
      </c>
      <c r="AC4" s="4">
        <v>38</v>
      </c>
      <c r="AD4" s="4">
        <v>55</v>
      </c>
      <c r="AE4" s="4">
        <v>17</v>
      </c>
      <c r="AF4" s="4">
        <v>27</v>
      </c>
      <c r="AG4" s="4">
        <v>49</v>
      </c>
      <c r="AH4" s="4">
        <v>26</v>
      </c>
      <c r="AI4" s="4">
        <v>53</v>
      </c>
      <c r="AJ4" s="4">
        <v>54</v>
      </c>
      <c r="AK4" s="4">
        <v>61</v>
      </c>
      <c r="AL4" s="4">
        <v>18</v>
      </c>
      <c r="AM4" s="4">
        <v>45</v>
      </c>
      <c r="AN4" s="4">
        <v>31</v>
      </c>
      <c r="AO4" s="4">
        <v>41</v>
      </c>
      <c r="AP4" s="4">
        <v>33</v>
      </c>
      <c r="AQ4" s="4">
        <v>40</v>
      </c>
      <c r="AR4" s="4">
        <v>56</v>
      </c>
      <c r="AS4" s="4">
        <v>19</v>
      </c>
      <c r="AT4" s="4">
        <v>44</v>
      </c>
      <c r="AU4" s="4">
        <v>51</v>
      </c>
      <c r="AV4" s="4">
        <v>20</v>
      </c>
      <c r="AW4" s="4">
        <v>32</v>
      </c>
      <c r="AX4" s="4">
        <v>64</v>
      </c>
      <c r="AY4" s="4">
        <v>34</v>
      </c>
      <c r="AZ4" s="4">
        <v>29</v>
      </c>
      <c r="BA4" s="4">
        <v>28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86"/>
      <c r="BV4" s="33" t="s">
        <v>48</v>
      </c>
      <c r="BW4" s="38">
        <v>21</v>
      </c>
      <c r="BX4" s="39">
        <v>24</v>
      </c>
      <c r="BY4" s="30">
        <v>10</v>
      </c>
      <c r="BZ4" s="39">
        <v>43</v>
      </c>
      <c r="CA4" s="39">
        <v>25</v>
      </c>
      <c r="CB4" s="30">
        <v>3</v>
      </c>
      <c r="CC4" s="39">
        <v>60</v>
      </c>
      <c r="CD4" s="30">
        <v>13</v>
      </c>
      <c r="CE4" s="39">
        <v>52</v>
      </c>
      <c r="CF4" s="39">
        <v>58</v>
      </c>
      <c r="CG4" s="39">
        <v>36</v>
      </c>
      <c r="CH4" s="39">
        <v>42</v>
      </c>
      <c r="CI4" s="39">
        <v>57</v>
      </c>
      <c r="CJ4" s="39">
        <v>23</v>
      </c>
      <c r="CK4" s="30">
        <v>12</v>
      </c>
      <c r="CL4" s="39">
        <v>50</v>
      </c>
      <c r="CM4" s="39">
        <v>30</v>
      </c>
      <c r="CN4" s="39">
        <v>22</v>
      </c>
      <c r="CO4" s="39">
        <v>37</v>
      </c>
      <c r="CP4" s="30">
        <v>5</v>
      </c>
      <c r="CQ4" s="39">
        <v>47</v>
      </c>
      <c r="CR4" s="39">
        <v>59</v>
      </c>
      <c r="CS4" s="39">
        <v>38</v>
      </c>
      <c r="CT4" s="30">
        <v>1</v>
      </c>
      <c r="CU4" s="39">
        <v>55</v>
      </c>
      <c r="CV4" s="30">
        <v>2</v>
      </c>
      <c r="CW4" s="39">
        <v>17</v>
      </c>
      <c r="CX4" s="39">
        <v>27</v>
      </c>
      <c r="CY4" s="30">
        <v>16</v>
      </c>
      <c r="CZ4" s="39">
        <v>49</v>
      </c>
      <c r="DA4" s="30">
        <v>6</v>
      </c>
      <c r="DB4" s="39">
        <v>26</v>
      </c>
      <c r="DC4" s="39">
        <v>53</v>
      </c>
      <c r="DD4" s="39">
        <v>54</v>
      </c>
      <c r="DE4" s="39">
        <v>61</v>
      </c>
      <c r="DF4" s="39">
        <v>18</v>
      </c>
      <c r="DG4" s="39">
        <v>45</v>
      </c>
      <c r="DH4" s="39">
        <v>31</v>
      </c>
      <c r="DI4" s="39">
        <v>41</v>
      </c>
      <c r="DJ4" s="39">
        <v>33</v>
      </c>
      <c r="DK4" s="30">
        <v>7</v>
      </c>
      <c r="DL4" s="30">
        <v>8</v>
      </c>
      <c r="DM4" s="30">
        <v>15</v>
      </c>
      <c r="DN4" s="39">
        <v>40</v>
      </c>
      <c r="DO4" s="30">
        <v>11</v>
      </c>
      <c r="DP4" s="39">
        <v>56</v>
      </c>
      <c r="DQ4" s="39">
        <v>19</v>
      </c>
      <c r="DR4" s="30">
        <v>14</v>
      </c>
      <c r="DS4" s="39">
        <v>44</v>
      </c>
      <c r="DT4" s="39">
        <v>51</v>
      </c>
      <c r="DU4" s="39">
        <v>20</v>
      </c>
      <c r="DV4" s="39">
        <v>32</v>
      </c>
      <c r="DW4" s="39">
        <v>64</v>
      </c>
      <c r="DX4" s="39">
        <v>34</v>
      </c>
      <c r="DY4" s="39">
        <v>29</v>
      </c>
      <c r="DZ4" s="30">
        <v>4</v>
      </c>
      <c r="EA4" s="39">
        <v>28</v>
      </c>
      <c r="EB4" s="30">
        <v>9</v>
      </c>
      <c r="EC4" s="39">
        <v>62</v>
      </c>
      <c r="ED4" s="39">
        <v>46</v>
      </c>
      <c r="EE4" s="39">
        <v>63</v>
      </c>
      <c r="EF4" s="39">
        <v>39</v>
      </c>
      <c r="EG4" s="39">
        <v>48</v>
      </c>
      <c r="EH4" s="37">
        <v>35</v>
      </c>
      <c r="EP4" s="33" t="s">
        <v>48</v>
      </c>
      <c r="EQ4" s="38">
        <v>21</v>
      </c>
      <c r="ER4" s="39">
        <v>24</v>
      </c>
      <c r="ES4" s="40">
        <v>10</v>
      </c>
      <c r="ET4" s="39">
        <v>43</v>
      </c>
      <c r="EU4" s="39">
        <v>25</v>
      </c>
      <c r="EV4" s="40">
        <v>3</v>
      </c>
      <c r="EW4" s="39">
        <v>60</v>
      </c>
      <c r="EX4" s="40">
        <v>13</v>
      </c>
      <c r="EY4" s="39">
        <v>52</v>
      </c>
      <c r="EZ4" s="39">
        <v>58</v>
      </c>
      <c r="FA4" s="39">
        <v>36</v>
      </c>
      <c r="FB4" s="39">
        <v>42</v>
      </c>
      <c r="FC4" s="39">
        <v>57</v>
      </c>
      <c r="FD4" s="39">
        <v>23</v>
      </c>
      <c r="FE4" s="40">
        <v>12</v>
      </c>
      <c r="FF4" s="39">
        <v>50</v>
      </c>
      <c r="FG4" s="39">
        <v>30</v>
      </c>
      <c r="FH4" s="39">
        <v>22</v>
      </c>
      <c r="FI4" s="39">
        <v>37</v>
      </c>
      <c r="FJ4" s="40">
        <v>5</v>
      </c>
      <c r="FK4" s="39">
        <v>47</v>
      </c>
      <c r="FL4" s="39">
        <v>59</v>
      </c>
      <c r="FM4" s="39">
        <v>38</v>
      </c>
      <c r="FN4" s="40">
        <v>1</v>
      </c>
      <c r="FO4" s="39">
        <v>55</v>
      </c>
      <c r="FP4" s="40">
        <v>2</v>
      </c>
      <c r="FQ4" s="39">
        <v>17</v>
      </c>
      <c r="FR4" s="39">
        <v>27</v>
      </c>
      <c r="FS4" s="40">
        <v>16</v>
      </c>
      <c r="FT4" s="39">
        <v>49</v>
      </c>
      <c r="FU4" s="40">
        <v>6</v>
      </c>
      <c r="FV4" s="39">
        <v>26</v>
      </c>
      <c r="FW4" s="39">
        <v>53</v>
      </c>
      <c r="FX4" s="39">
        <v>54</v>
      </c>
      <c r="FY4" s="39">
        <v>61</v>
      </c>
      <c r="FZ4" s="39">
        <v>18</v>
      </c>
      <c r="GA4" s="39">
        <v>45</v>
      </c>
      <c r="GB4" s="39">
        <v>31</v>
      </c>
      <c r="GC4" s="39">
        <v>41</v>
      </c>
      <c r="GD4" s="39">
        <v>33</v>
      </c>
      <c r="GE4" s="40">
        <v>7</v>
      </c>
      <c r="GF4" s="40">
        <v>8</v>
      </c>
      <c r="GG4" s="40">
        <v>15</v>
      </c>
      <c r="GH4" s="39">
        <v>40</v>
      </c>
      <c r="GI4" s="40">
        <v>11</v>
      </c>
      <c r="GJ4" s="39">
        <v>56</v>
      </c>
      <c r="GK4" s="39">
        <v>19</v>
      </c>
      <c r="GL4" s="40">
        <v>14</v>
      </c>
      <c r="GM4" s="39">
        <v>44</v>
      </c>
      <c r="GN4" s="39">
        <v>51</v>
      </c>
      <c r="GO4" s="39">
        <v>20</v>
      </c>
      <c r="GP4" s="39">
        <v>32</v>
      </c>
      <c r="GQ4" s="39">
        <v>64</v>
      </c>
      <c r="GR4" s="39">
        <v>34</v>
      </c>
      <c r="GS4" s="39">
        <v>29</v>
      </c>
      <c r="GT4" s="40">
        <v>4</v>
      </c>
      <c r="GU4" s="39">
        <v>28</v>
      </c>
      <c r="GV4" s="40">
        <v>9</v>
      </c>
      <c r="GW4" s="39">
        <v>62</v>
      </c>
      <c r="GX4" s="39">
        <v>46</v>
      </c>
      <c r="GY4" s="39">
        <v>63</v>
      </c>
      <c r="GZ4" s="39">
        <v>39</v>
      </c>
      <c r="HA4" s="39">
        <v>48</v>
      </c>
      <c r="HB4" s="37">
        <v>35</v>
      </c>
    </row>
    <row r="5" spans="1:210" ht="16.149999999999999" thickBot="1" x14ac:dyDescent="0.55000000000000004">
      <c r="F5" s="4">
        <v>9</v>
      </c>
      <c r="G5" s="4">
        <v>4</v>
      </c>
      <c r="H5" s="4">
        <v>14</v>
      </c>
      <c r="I5" s="4">
        <v>11</v>
      </c>
      <c r="J5" s="4">
        <v>15</v>
      </c>
      <c r="K5" s="4">
        <v>8</v>
      </c>
      <c r="L5" s="4">
        <v>7</v>
      </c>
      <c r="M5" s="4">
        <v>6</v>
      </c>
      <c r="N5" s="4">
        <v>16</v>
      </c>
      <c r="O5" s="4">
        <v>2</v>
      </c>
      <c r="P5" s="4">
        <v>1</v>
      </c>
      <c r="Q5" s="4">
        <v>5</v>
      </c>
      <c r="R5" s="4">
        <v>12</v>
      </c>
      <c r="S5" s="4">
        <v>13</v>
      </c>
      <c r="T5" s="4">
        <v>3</v>
      </c>
      <c r="U5" s="4">
        <v>10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86"/>
      <c r="BV5" s="34" t="s">
        <v>51</v>
      </c>
      <c r="BW5" s="41">
        <v>0</v>
      </c>
      <c r="BX5" s="42">
        <v>0</v>
      </c>
      <c r="BY5" s="42">
        <v>0</v>
      </c>
      <c r="BZ5" s="42">
        <v>0</v>
      </c>
      <c r="CA5" s="42">
        <v>0</v>
      </c>
      <c r="CB5" s="42">
        <v>0</v>
      </c>
      <c r="CC5" s="42">
        <v>0</v>
      </c>
      <c r="CD5" s="42">
        <v>0</v>
      </c>
      <c r="CE5" s="42">
        <v>0</v>
      </c>
      <c r="CF5" s="42">
        <v>0</v>
      </c>
      <c r="CG5" s="42">
        <v>0</v>
      </c>
      <c r="CH5" s="42">
        <v>0</v>
      </c>
      <c r="CI5" s="42">
        <v>0</v>
      </c>
      <c r="CJ5" s="42">
        <v>0</v>
      </c>
      <c r="CK5" s="42">
        <v>0</v>
      </c>
      <c r="CL5" s="42">
        <v>0</v>
      </c>
      <c r="CM5" s="42">
        <v>0</v>
      </c>
      <c r="CN5" s="42">
        <v>0</v>
      </c>
      <c r="CO5" s="42">
        <v>0</v>
      </c>
      <c r="CP5" s="42">
        <v>0</v>
      </c>
      <c r="CQ5" s="42">
        <v>0</v>
      </c>
      <c r="CR5" s="42">
        <v>0</v>
      </c>
      <c r="CS5" s="42">
        <v>0</v>
      </c>
      <c r="CT5" s="42">
        <v>0</v>
      </c>
      <c r="CU5" s="42">
        <v>0</v>
      </c>
      <c r="CV5" s="42">
        <v>0</v>
      </c>
      <c r="CW5" s="42">
        <v>0</v>
      </c>
      <c r="CX5" s="42">
        <v>0</v>
      </c>
      <c r="CY5" s="42">
        <v>0</v>
      </c>
      <c r="CZ5" s="42">
        <v>0</v>
      </c>
      <c r="DA5" s="42">
        <v>0</v>
      </c>
      <c r="DB5" s="42">
        <v>0</v>
      </c>
      <c r="DC5" s="42">
        <v>0</v>
      </c>
      <c r="DD5" s="42">
        <v>0</v>
      </c>
      <c r="DE5" s="42">
        <v>0</v>
      </c>
      <c r="DF5" s="42">
        <v>0</v>
      </c>
      <c r="DG5" s="42">
        <v>0</v>
      </c>
      <c r="DH5" s="42">
        <v>0</v>
      </c>
      <c r="DI5" s="42">
        <v>0</v>
      </c>
      <c r="DJ5" s="42">
        <v>0</v>
      </c>
      <c r="DK5" s="42">
        <v>0</v>
      </c>
      <c r="DL5" s="42">
        <v>0</v>
      </c>
      <c r="DM5" s="42">
        <v>0</v>
      </c>
      <c r="DN5" s="42">
        <v>0</v>
      </c>
      <c r="DO5" s="42">
        <v>0</v>
      </c>
      <c r="DP5" s="42">
        <v>0</v>
      </c>
      <c r="DQ5" s="42">
        <v>0</v>
      </c>
      <c r="DR5" s="42">
        <v>0</v>
      </c>
      <c r="DS5" s="42">
        <v>0</v>
      </c>
      <c r="DT5" s="42">
        <v>0</v>
      </c>
      <c r="DU5" s="42">
        <v>0</v>
      </c>
      <c r="DV5" s="42">
        <v>0</v>
      </c>
      <c r="DW5" s="42">
        <v>0</v>
      </c>
      <c r="DX5" s="42">
        <v>0</v>
      </c>
      <c r="DY5" s="42">
        <v>0</v>
      </c>
      <c r="DZ5" s="42">
        <v>0</v>
      </c>
      <c r="EA5" s="42">
        <v>0</v>
      </c>
      <c r="EB5" s="42">
        <v>0</v>
      </c>
      <c r="EC5" s="42">
        <v>0</v>
      </c>
      <c r="ED5" s="42">
        <v>0</v>
      </c>
      <c r="EE5" s="42">
        <v>0</v>
      </c>
      <c r="EF5" s="42">
        <v>0</v>
      </c>
      <c r="EG5" s="42">
        <v>0</v>
      </c>
      <c r="EH5" s="43">
        <v>0</v>
      </c>
      <c r="EP5" s="34" t="s">
        <v>51</v>
      </c>
      <c r="EQ5" s="41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3"/>
    </row>
    <row r="6" spans="1:210" ht="16.5" thickTop="1" thickBot="1" x14ac:dyDescent="0.55000000000000004">
      <c r="L6"/>
      <c r="BV6" s="33" t="s">
        <v>48</v>
      </c>
      <c r="BW6" s="38">
        <v>62</v>
      </c>
      <c r="BX6" s="39">
        <v>46</v>
      </c>
      <c r="BY6" s="39">
        <v>63</v>
      </c>
      <c r="BZ6" s="39">
        <v>39</v>
      </c>
      <c r="CA6" s="39">
        <v>48</v>
      </c>
      <c r="CB6" s="39">
        <v>35</v>
      </c>
      <c r="CC6" s="39">
        <v>21</v>
      </c>
      <c r="CD6" s="39">
        <v>24</v>
      </c>
      <c r="CE6" s="39">
        <v>43</v>
      </c>
      <c r="CF6" s="39">
        <v>25</v>
      </c>
      <c r="CG6" s="39">
        <v>60</v>
      </c>
      <c r="CH6" s="39">
        <v>52</v>
      </c>
      <c r="CI6" s="39">
        <v>58</v>
      </c>
      <c r="CJ6" s="39">
        <v>36</v>
      </c>
      <c r="CK6" s="39">
        <v>42</v>
      </c>
      <c r="CL6" s="39">
        <v>57</v>
      </c>
      <c r="CM6" s="39">
        <v>23</v>
      </c>
      <c r="CN6" s="39">
        <v>50</v>
      </c>
      <c r="CO6" s="39">
        <v>30</v>
      </c>
      <c r="CP6" s="39">
        <v>22</v>
      </c>
      <c r="CQ6" s="39">
        <v>37</v>
      </c>
      <c r="CR6" s="39">
        <v>47</v>
      </c>
      <c r="CS6" s="39">
        <v>59</v>
      </c>
      <c r="CT6" s="39">
        <v>38</v>
      </c>
      <c r="CU6" s="39">
        <v>55</v>
      </c>
      <c r="CV6" s="39">
        <v>17</v>
      </c>
      <c r="CW6" s="39">
        <v>27</v>
      </c>
      <c r="CX6" s="39">
        <v>49</v>
      </c>
      <c r="CY6" s="39">
        <v>26</v>
      </c>
      <c r="CZ6" s="39">
        <v>53</v>
      </c>
      <c r="DA6" s="39">
        <v>54</v>
      </c>
      <c r="DB6" s="39">
        <v>61</v>
      </c>
      <c r="DC6" s="39">
        <v>18</v>
      </c>
      <c r="DD6" s="39">
        <v>45</v>
      </c>
      <c r="DE6" s="39">
        <v>31</v>
      </c>
      <c r="DF6" s="39">
        <v>41</v>
      </c>
      <c r="DG6" s="39">
        <v>33</v>
      </c>
      <c r="DH6" s="39">
        <v>40</v>
      </c>
      <c r="DI6" s="39">
        <v>56</v>
      </c>
      <c r="DJ6" s="39">
        <v>19</v>
      </c>
      <c r="DK6" s="39">
        <v>44</v>
      </c>
      <c r="DL6" s="39">
        <v>51</v>
      </c>
      <c r="DM6" s="39">
        <v>20</v>
      </c>
      <c r="DN6" s="39">
        <v>32</v>
      </c>
      <c r="DO6" s="39">
        <v>64</v>
      </c>
      <c r="DP6" s="39">
        <v>34</v>
      </c>
      <c r="DQ6" s="39">
        <v>29</v>
      </c>
      <c r="DR6" s="39">
        <v>28</v>
      </c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7"/>
      <c r="EP6" s="33" t="s">
        <v>48</v>
      </c>
      <c r="EQ6" s="38">
        <v>17</v>
      </c>
      <c r="ER6" s="39">
        <v>27</v>
      </c>
      <c r="ES6" s="39">
        <v>49</v>
      </c>
      <c r="ET6" s="39">
        <v>26</v>
      </c>
      <c r="EU6" s="39">
        <v>53</v>
      </c>
      <c r="EV6" s="39">
        <v>54</v>
      </c>
      <c r="EW6" s="39">
        <v>61</v>
      </c>
      <c r="EX6" s="39">
        <v>18</v>
      </c>
      <c r="EY6" s="39">
        <v>45</v>
      </c>
      <c r="EZ6" s="39">
        <v>31</v>
      </c>
      <c r="FA6" s="39">
        <v>41</v>
      </c>
      <c r="FB6" s="39">
        <v>33</v>
      </c>
      <c r="FC6" s="39">
        <v>40</v>
      </c>
      <c r="FD6" s="39">
        <v>56</v>
      </c>
      <c r="FE6" s="39">
        <v>19</v>
      </c>
      <c r="FF6" s="39">
        <v>44</v>
      </c>
      <c r="FG6" s="39">
        <v>51</v>
      </c>
      <c r="FH6" s="39">
        <v>20</v>
      </c>
      <c r="FI6" s="39">
        <v>32</v>
      </c>
      <c r="FJ6" s="39">
        <v>64</v>
      </c>
      <c r="FK6" s="39">
        <v>34</v>
      </c>
      <c r="FL6" s="39">
        <v>29</v>
      </c>
      <c r="FM6" s="39">
        <v>28</v>
      </c>
      <c r="FN6" s="39">
        <v>62</v>
      </c>
      <c r="FO6" s="39">
        <v>46</v>
      </c>
      <c r="FP6" s="39">
        <v>63</v>
      </c>
      <c r="FQ6" s="39">
        <v>39</v>
      </c>
      <c r="FR6" s="39">
        <v>48</v>
      </c>
      <c r="FS6" s="39">
        <v>35</v>
      </c>
      <c r="FT6" s="39">
        <v>21</v>
      </c>
      <c r="FU6" s="39">
        <v>24</v>
      </c>
      <c r="FV6" s="39">
        <v>43</v>
      </c>
      <c r="FW6" s="39">
        <v>25</v>
      </c>
      <c r="FX6" s="39">
        <v>60</v>
      </c>
      <c r="FY6" s="39">
        <v>52</v>
      </c>
      <c r="FZ6" s="39">
        <v>58</v>
      </c>
      <c r="GA6" s="39">
        <v>36</v>
      </c>
      <c r="GB6" s="39">
        <v>42</v>
      </c>
      <c r="GC6" s="39">
        <v>57</v>
      </c>
      <c r="GD6" s="39">
        <v>23</v>
      </c>
      <c r="GE6" s="39">
        <v>50</v>
      </c>
      <c r="GF6" s="39">
        <v>30</v>
      </c>
      <c r="GG6" s="39">
        <v>22</v>
      </c>
      <c r="GH6" s="39">
        <v>37</v>
      </c>
      <c r="GI6" s="39">
        <v>47</v>
      </c>
      <c r="GJ6" s="39">
        <v>59</v>
      </c>
      <c r="GK6" s="39">
        <v>38</v>
      </c>
      <c r="GL6" s="39">
        <v>55</v>
      </c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7"/>
    </row>
    <row r="7" spans="1:210" ht="16.05" customHeight="1" thickBot="1" x14ac:dyDescent="0.55000000000000004">
      <c r="A7" t="s">
        <v>31</v>
      </c>
      <c r="B7">
        <v>64</v>
      </c>
      <c r="D7" s="100">
        <v>0</v>
      </c>
      <c r="E7" s="102" t="s">
        <v>11</v>
      </c>
      <c r="F7" s="4">
        <v>21</v>
      </c>
      <c r="G7" s="4">
        <v>24</v>
      </c>
      <c r="H7" s="4">
        <v>10</v>
      </c>
      <c r="I7" s="4">
        <v>43</v>
      </c>
      <c r="J7" s="4">
        <v>25</v>
      </c>
      <c r="K7" s="4">
        <v>3</v>
      </c>
      <c r="L7" s="4">
        <v>60</v>
      </c>
      <c r="M7" s="4">
        <v>13</v>
      </c>
      <c r="N7" s="4">
        <v>52</v>
      </c>
      <c r="O7" s="4">
        <v>58</v>
      </c>
      <c r="P7" s="4">
        <v>36</v>
      </c>
      <c r="Q7" s="4">
        <v>42</v>
      </c>
      <c r="R7" s="4">
        <v>57</v>
      </c>
      <c r="S7" s="4">
        <v>23</v>
      </c>
      <c r="T7" s="4">
        <v>12</v>
      </c>
      <c r="U7" s="4">
        <v>50</v>
      </c>
      <c r="V7" s="4">
        <v>30</v>
      </c>
      <c r="W7" s="4">
        <v>22</v>
      </c>
      <c r="X7" s="4">
        <v>37</v>
      </c>
      <c r="Y7" s="4">
        <v>5</v>
      </c>
      <c r="Z7" s="4">
        <v>47</v>
      </c>
      <c r="AA7" s="4">
        <v>59</v>
      </c>
      <c r="AB7" s="4">
        <v>38</v>
      </c>
      <c r="AC7" s="4">
        <v>1</v>
      </c>
      <c r="AD7" s="4">
        <v>55</v>
      </c>
      <c r="AE7" s="4">
        <v>2</v>
      </c>
      <c r="AF7" s="4">
        <v>17</v>
      </c>
      <c r="AG7" s="4">
        <v>27</v>
      </c>
      <c r="AH7" s="4">
        <v>16</v>
      </c>
      <c r="AI7" s="4">
        <v>49</v>
      </c>
      <c r="AJ7" s="4">
        <v>6</v>
      </c>
      <c r="AK7" s="4">
        <v>26</v>
      </c>
      <c r="AL7" s="4">
        <v>53</v>
      </c>
      <c r="AM7" s="4">
        <v>54</v>
      </c>
      <c r="AN7" s="4">
        <v>61</v>
      </c>
      <c r="AO7" s="4">
        <v>18</v>
      </c>
      <c r="AP7" s="4">
        <v>45</v>
      </c>
      <c r="AQ7" s="4">
        <v>31</v>
      </c>
      <c r="AR7" s="4">
        <v>41</v>
      </c>
      <c r="AS7" s="4">
        <v>33</v>
      </c>
      <c r="AT7" s="4">
        <v>7</v>
      </c>
      <c r="AU7" s="4">
        <v>8</v>
      </c>
      <c r="AV7" s="4">
        <v>15</v>
      </c>
      <c r="AW7" s="4">
        <v>40</v>
      </c>
      <c r="AX7" s="4">
        <v>11</v>
      </c>
      <c r="AY7" s="4">
        <v>56</v>
      </c>
      <c r="AZ7" s="4">
        <v>19</v>
      </c>
      <c r="BA7" s="4">
        <v>14</v>
      </c>
      <c r="BB7" s="4">
        <v>44</v>
      </c>
      <c r="BC7" s="4">
        <v>51</v>
      </c>
      <c r="BD7" s="4">
        <v>20</v>
      </c>
      <c r="BE7" s="4">
        <v>32</v>
      </c>
      <c r="BF7" s="4">
        <v>64</v>
      </c>
      <c r="BG7" s="4">
        <v>34</v>
      </c>
      <c r="BH7" s="4">
        <v>29</v>
      </c>
      <c r="BI7" s="4">
        <v>4</v>
      </c>
      <c r="BJ7" s="4">
        <v>28</v>
      </c>
      <c r="BK7" s="4">
        <v>9</v>
      </c>
      <c r="BL7" s="4">
        <v>62</v>
      </c>
      <c r="BM7" s="4">
        <v>46</v>
      </c>
      <c r="BN7" s="4">
        <v>63</v>
      </c>
      <c r="BO7" s="4">
        <v>39</v>
      </c>
      <c r="BP7" s="4">
        <v>48</v>
      </c>
      <c r="BQ7" s="4">
        <v>35</v>
      </c>
      <c r="BS7">
        <v>1</v>
      </c>
      <c r="BT7">
        <v>8</v>
      </c>
      <c r="BV7" s="34" t="s">
        <v>51</v>
      </c>
      <c r="BW7" s="87">
        <v>9</v>
      </c>
      <c r="BX7" s="88">
        <v>4</v>
      </c>
      <c r="BY7" s="88">
        <v>14</v>
      </c>
      <c r="BZ7" s="88">
        <v>11</v>
      </c>
      <c r="CA7" s="88">
        <v>15</v>
      </c>
      <c r="CB7" s="88">
        <v>8</v>
      </c>
      <c r="CC7" s="88">
        <v>7</v>
      </c>
      <c r="CD7" s="88">
        <v>6</v>
      </c>
      <c r="CE7" s="88">
        <v>16</v>
      </c>
      <c r="CF7" s="88">
        <v>2</v>
      </c>
      <c r="CG7" s="88">
        <v>1</v>
      </c>
      <c r="CH7" s="88">
        <v>5</v>
      </c>
      <c r="CI7" s="88">
        <v>12</v>
      </c>
      <c r="CJ7" s="88">
        <v>13</v>
      </c>
      <c r="CK7" s="88">
        <v>3</v>
      </c>
      <c r="CL7" s="88">
        <v>10</v>
      </c>
      <c r="CM7" s="42">
        <v>0</v>
      </c>
      <c r="CN7" s="42">
        <v>0</v>
      </c>
      <c r="CO7" s="42">
        <v>0</v>
      </c>
      <c r="CP7" s="42">
        <v>0</v>
      </c>
      <c r="CQ7" s="42">
        <v>0</v>
      </c>
      <c r="CR7" s="42">
        <v>0</v>
      </c>
      <c r="CS7" s="42">
        <v>0</v>
      </c>
      <c r="CT7" s="42">
        <v>0</v>
      </c>
      <c r="CU7" s="42">
        <v>0</v>
      </c>
      <c r="CV7" s="42">
        <v>0</v>
      </c>
      <c r="CW7" s="42">
        <v>0</v>
      </c>
      <c r="CX7" s="42">
        <v>0</v>
      </c>
      <c r="CY7" s="42">
        <v>0</v>
      </c>
      <c r="CZ7" s="42">
        <v>0</v>
      </c>
      <c r="DA7" s="42">
        <v>0</v>
      </c>
      <c r="DB7" s="42">
        <v>0</v>
      </c>
      <c r="DC7" s="42">
        <v>0</v>
      </c>
      <c r="DD7" s="42">
        <v>0</v>
      </c>
      <c r="DE7" s="42">
        <v>0</v>
      </c>
      <c r="DF7" s="42">
        <v>0</v>
      </c>
      <c r="DG7" s="42">
        <v>0</v>
      </c>
      <c r="DH7" s="42">
        <v>0</v>
      </c>
      <c r="DI7" s="42">
        <v>0</v>
      </c>
      <c r="DJ7" s="42">
        <v>0</v>
      </c>
      <c r="DK7" s="42">
        <v>0</v>
      </c>
      <c r="DL7" s="42">
        <v>0</v>
      </c>
      <c r="DM7" s="42">
        <v>0</v>
      </c>
      <c r="DN7" s="42">
        <v>0</v>
      </c>
      <c r="DO7" s="42">
        <v>0</v>
      </c>
      <c r="DP7" s="42">
        <v>0</v>
      </c>
      <c r="DQ7" s="42">
        <v>0</v>
      </c>
      <c r="DR7" s="42">
        <v>0</v>
      </c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9"/>
      <c r="EP7" s="34" t="s">
        <v>51</v>
      </c>
      <c r="EQ7" s="41">
        <v>2</v>
      </c>
      <c r="ER7" s="44">
        <v>9</v>
      </c>
      <c r="ES7" s="42">
        <v>4</v>
      </c>
      <c r="ET7" s="44">
        <v>14</v>
      </c>
      <c r="EU7" s="44">
        <v>11</v>
      </c>
      <c r="EV7" s="44">
        <v>15</v>
      </c>
      <c r="EW7" s="42">
        <v>8</v>
      </c>
      <c r="EX7" s="42">
        <v>7</v>
      </c>
      <c r="EY7" s="42">
        <v>6</v>
      </c>
      <c r="EZ7" s="44">
        <v>16</v>
      </c>
      <c r="FA7" s="42">
        <v>1</v>
      </c>
      <c r="FB7" s="42">
        <v>5</v>
      </c>
      <c r="FC7" s="44">
        <v>12</v>
      </c>
      <c r="FD7" s="44">
        <v>13</v>
      </c>
      <c r="FE7" s="42">
        <v>3</v>
      </c>
      <c r="FF7" s="44">
        <v>10</v>
      </c>
      <c r="FG7" s="42">
        <v>0</v>
      </c>
      <c r="FH7" s="42">
        <v>0</v>
      </c>
      <c r="FI7" s="42">
        <v>0</v>
      </c>
      <c r="FJ7" s="42">
        <v>0</v>
      </c>
      <c r="FK7" s="42">
        <v>0</v>
      </c>
      <c r="FL7" s="42">
        <v>0</v>
      </c>
      <c r="FM7" s="42">
        <v>0</v>
      </c>
      <c r="FN7" s="42">
        <v>0</v>
      </c>
      <c r="FO7" s="42">
        <v>0</v>
      </c>
      <c r="FP7" s="42">
        <v>0</v>
      </c>
      <c r="FQ7" s="42">
        <v>0</v>
      </c>
      <c r="FR7" s="42">
        <v>0</v>
      </c>
      <c r="FS7" s="42">
        <v>0</v>
      </c>
      <c r="FT7" s="42">
        <v>0</v>
      </c>
      <c r="FU7" s="42">
        <v>0</v>
      </c>
      <c r="FV7" s="42">
        <v>0</v>
      </c>
      <c r="FW7" s="42">
        <v>0</v>
      </c>
      <c r="FX7" s="42">
        <v>0</v>
      </c>
      <c r="FY7" s="42">
        <v>0</v>
      </c>
      <c r="FZ7" s="42">
        <v>0</v>
      </c>
      <c r="GA7" s="42">
        <v>0</v>
      </c>
      <c r="GB7" s="42">
        <v>0</v>
      </c>
      <c r="GC7" s="42">
        <v>0</v>
      </c>
      <c r="GD7" s="42">
        <v>0</v>
      </c>
      <c r="GE7" s="42">
        <v>0</v>
      </c>
      <c r="GF7" s="42">
        <v>0</v>
      </c>
      <c r="GG7" s="42">
        <v>0</v>
      </c>
      <c r="GH7" s="42">
        <v>0</v>
      </c>
      <c r="GI7" s="42">
        <v>0</v>
      </c>
      <c r="GJ7" s="42">
        <v>0</v>
      </c>
      <c r="GK7" s="42">
        <v>0</v>
      </c>
      <c r="GL7" s="42">
        <v>0</v>
      </c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9"/>
    </row>
    <row r="8" spans="1:210" ht="16.5" thickTop="1" thickBot="1" x14ac:dyDescent="0.55000000000000004">
      <c r="A8" t="s">
        <v>35</v>
      </c>
      <c r="B8">
        <v>4</v>
      </c>
      <c r="D8" s="101"/>
      <c r="E8" s="103"/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S8">
        <v>9</v>
      </c>
      <c r="BT8">
        <v>16</v>
      </c>
      <c r="BV8" s="33" t="s">
        <v>48</v>
      </c>
      <c r="BW8" s="38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26"/>
      <c r="EB8" s="26"/>
      <c r="EC8" s="26"/>
      <c r="ED8" s="26"/>
      <c r="EE8" s="26"/>
      <c r="EF8" s="26"/>
      <c r="EG8" s="26"/>
      <c r="EH8" s="27"/>
      <c r="EP8" s="33" t="s">
        <v>48</v>
      </c>
      <c r="EQ8" s="45">
        <v>10</v>
      </c>
      <c r="ER8" s="46">
        <v>13</v>
      </c>
      <c r="ES8" s="46">
        <v>12</v>
      </c>
      <c r="ET8" s="46">
        <v>16</v>
      </c>
      <c r="EU8" s="46">
        <v>15</v>
      </c>
      <c r="EV8" s="46">
        <v>11</v>
      </c>
      <c r="EW8" s="46">
        <v>14</v>
      </c>
      <c r="EX8" s="46">
        <v>9</v>
      </c>
      <c r="EY8" s="39">
        <v>17</v>
      </c>
      <c r="EZ8" s="39">
        <v>27</v>
      </c>
      <c r="FA8" s="39">
        <v>49</v>
      </c>
      <c r="FB8" s="39">
        <v>26</v>
      </c>
      <c r="FC8" s="39">
        <v>53</v>
      </c>
      <c r="FD8" s="39">
        <v>54</v>
      </c>
      <c r="FE8" s="39">
        <v>61</v>
      </c>
      <c r="FF8" s="39">
        <v>18</v>
      </c>
      <c r="FG8" s="39">
        <v>45</v>
      </c>
      <c r="FH8" s="39">
        <v>31</v>
      </c>
      <c r="FI8" s="39">
        <v>41</v>
      </c>
      <c r="FJ8" s="39">
        <v>33</v>
      </c>
      <c r="FK8" s="39">
        <v>40</v>
      </c>
      <c r="FL8" s="39">
        <v>56</v>
      </c>
      <c r="FM8" s="39">
        <v>19</v>
      </c>
      <c r="FN8" s="39">
        <v>44</v>
      </c>
      <c r="FO8" s="39">
        <v>51</v>
      </c>
      <c r="FP8" s="39">
        <v>20</v>
      </c>
      <c r="FQ8" s="39">
        <v>32</v>
      </c>
      <c r="FR8" s="39">
        <v>64</v>
      </c>
      <c r="FS8" s="39">
        <v>34</v>
      </c>
      <c r="FT8" s="39">
        <v>29</v>
      </c>
      <c r="FU8" s="39">
        <v>28</v>
      </c>
      <c r="FV8" s="39">
        <v>62</v>
      </c>
      <c r="FW8" s="39">
        <v>46</v>
      </c>
      <c r="FX8" s="39">
        <v>63</v>
      </c>
      <c r="FY8" s="39">
        <v>39</v>
      </c>
      <c r="FZ8" s="39">
        <v>48</v>
      </c>
      <c r="GA8" s="39">
        <v>35</v>
      </c>
      <c r="GB8" s="39">
        <v>21</v>
      </c>
      <c r="GC8" s="39">
        <v>24</v>
      </c>
      <c r="GD8" s="39">
        <v>43</v>
      </c>
      <c r="GE8" s="39">
        <v>25</v>
      </c>
      <c r="GF8" s="39">
        <v>60</v>
      </c>
      <c r="GG8" s="39">
        <v>52</v>
      </c>
      <c r="GH8" s="39">
        <v>58</v>
      </c>
      <c r="GI8" s="39">
        <v>36</v>
      </c>
      <c r="GJ8" s="39">
        <v>42</v>
      </c>
      <c r="GK8" s="39">
        <v>57</v>
      </c>
      <c r="GL8" s="39">
        <v>23</v>
      </c>
      <c r="GM8" s="39">
        <v>50</v>
      </c>
      <c r="GN8" s="39">
        <v>30</v>
      </c>
      <c r="GO8" s="39">
        <v>22</v>
      </c>
      <c r="GP8" s="39">
        <v>37</v>
      </c>
      <c r="GQ8" s="39">
        <v>47</v>
      </c>
      <c r="GR8" s="39">
        <v>59</v>
      </c>
      <c r="GS8" s="39">
        <v>38</v>
      </c>
      <c r="GT8" s="39">
        <v>55</v>
      </c>
      <c r="GU8" s="26"/>
      <c r="GV8" s="26"/>
      <c r="GW8" s="26"/>
      <c r="GX8" s="26"/>
      <c r="GY8" s="26"/>
      <c r="GZ8" s="26"/>
      <c r="HA8" s="26"/>
      <c r="HB8" s="27"/>
    </row>
    <row r="9" spans="1:210" ht="16.05" customHeight="1" thickBot="1" x14ac:dyDescent="0.55000000000000004">
      <c r="A9" s="24" t="s">
        <v>44</v>
      </c>
      <c r="B9">
        <v>16</v>
      </c>
      <c r="D9" s="100"/>
      <c r="E9" s="98" t="s">
        <v>12</v>
      </c>
      <c r="F9" s="4">
        <v>24</v>
      </c>
      <c r="G9" s="4">
        <v>10</v>
      </c>
      <c r="H9" s="4">
        <v>43</v>
      </c>
      <c r="I9" s="4">
        <v>25</v>
      </c>
      <c r="J9" s="4">
        <v>3</v>
      </c>
      <c r="K9" s="4">
        <v>60</v>
      </c>
      <c r="L9" s="4">
        <v>13</v>
      </c>
      <c r="M9" s="4">
        <v>52</v>
      </c>
      <c r="N9" s="4">
        <v>58</v>
      </c>
      <c r="O9" s="4">
        <v>36</v>
      </c>
      <c r="P9" s="4">
        <v>42</v>
      </c>
      <c r="Q9" s="4">
        <v>57</v>
      </c>
      <c r="R9" s="4">
        <v>23</v>
      </c>
      <c r="S9" s="4">
        <v>12</v>
      </c>
      <c r="T9" s="4">
        <v>50</v>
      </c>
      <c r="U9" s="4">
        <v>30</v>
      </c>
      <c r="V9" s="4">
        <v>22</v>
      </c>
      <c r="W9" s="4">
        <v>37</v>
      </c>
      <c r="X9" s="4">
        <v>5</v>
      </c>
      <c r="Y9" s="4">
        <v>47</v>
      </c>
      <c r="Z9" s="4">
        <v>59</v>
      </c>
      <c r="AA9" s="4">
        <v>38</v>
      </c>
      <c r="AB9" s="4">
        <v>1</v>
      </c>
      <c r="AC9" s="4">
        <v>55</v>
      </c>
      <c r="AD9" s="4">
        <v>2</v>
      </c>
      <c r="AE9" s="4">
        <v>17</v>
      </c>
      <c r="AF9" s="4">
        <v>27</v>
      </c>
      <c r="AG9" s="4">
        <v>16</v>
      </c>
      <c r="AH9" s="4">
        <v>49</v>
      </c>
      <c r="AI9" s="4">
        <v>6</v>
      </c>
      <c r="AJ9" s="4">
        <v>26</v>
      </c>
      <c r="AK9" s="4">
        <v>53</v>
      </c>
      <c r="AL9" s="4">
        <v>54</v>
      </c>
      <c r="AM9" s="4">
        <v>61</v>
      </c>
      <c r="AN9" s="4">
        <v>18</v>
      </c>
      <c r="AO9" s="4">
        <v>45</v>
      </c>
      <c r="AP9" s="4">
        <v>31</v>
      </c>
      <c r="AQ9" s="4">
        <v>41</v>
      </c>
      <c r="AR9" s="4">
        <v>33</v>
      </c>
      <c r="AS9" s="4">
        <v>7</v>
      </c>
      <c r="AT9" s="4">
        <v>8</v>
      </c>
      <c r="AU9" s="4">
        <v>15</v>
      </c>
      <c r="AV9" s="4">
        <v>40</v>
      </c>
      <c r="AW9" s="4">
        <v>11</v>
      </c>
      <c r="AX9" s="4">
        <v>56</v>
      </c>
      <c r="AY9" s="4">
        <v>19</v>
      </c>
      <c r="AZ9" s="4">
        <v>14</v>
      </c>
      <c r="BA9" s="4">
        <v>44</v>
      </c>
      <c r="BB9" s="4">
        <v>51</v>
      </c>
      <c r="BC9" s="4">
        <v>20</v>
      </c>
      <c r="BD9" s="4">
        <v>32</v>
      </c>
      <c r="BE9" s="4">
        <v>64</v>
      </c>
      <c r="BF9" s="4">
        <v>34</v>
      </c>
      <c r="BG9" s="4">
        <v>29</v>
      </c>
      <c r="BH9" s="4">
        <v>4</v>
      </c>
      <c r="BI9" s="4">
        <v>28</v>
      </c>
      <c r="BJ9" s="4">
        <v>9</v>
      </c>
      <c r="BK9" s="4">
        <v>62</v>
      </c>
      <c r="BL9" s="4">
        <v>46</v>
      </c>
      <c r="BM9" s="4">
        <v>63</v>
      </c>
      <c r="BN9" s="4">
        <v>39</v>
      </c>
      <c r="BO9" s="4">
        <v>48</v>
      </c>
      <c r="BP9" s="4">
        <v>35</v>
      </c>
      <c r="BQ9" s="4">
        <v>21</v>
      </c>
      <c r="BS9">
        <v>17</v>
      </c>
      <c r="BT9">
        <v>24</v>
      </c>
      <c r="BV9" s="34" t="s">
        <v>51</v>
      </c>
      <c r="BW9" s="41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28"/>
      <c r="EB9" s="28"/>
      <c r="EC9" s="28"/>
      <c r="ED9" s="28"/>
      <c r="EE9" s="28"/>
      <c r="EF9" s="28"/>
      <c r="EG9" s="28"/>
      <c r="EH9" s="29"/>
      <c r="EP9" s="34" t="s">
        <v>51</v>
      </c>
      <c r="EQ9" s="41">
        <v>2</v>
      </c>
      <c r="ER9" s="42">
        <v>4</v>
      </c>
      <c r="ES9" s="42">
        <v>8</v>
      </c>
      <c r="ET9" s="42">
        <v>7</v>
      </c>
      <c r="EU9" s="42">
        <v>6</v>
      </c>
      <c r="EV9" s="42">
        <v>1</v>
      </c>
      <c r="EW9" s="42">
        <v>5</v>
      </c>
      <c r="EX9" s="42">
        <v>3</v>
      </c>
      <c r="EY9" s="42">
        <v>0</v>
      </c>
      <c r="EZ9" s="42">
        <v>0</v>
      </c>
      <c r="FA9" s="42">
        <v>0</v>
      </c>
      <c r="FB9" s="42">
        <v>0</v>
      </c>
      <c r="FC9" s="42">
        <v>0</v>
      </c>
      <c r="FD9" s="42">
        <v>0</v>
      </c>
      <c r="FE9" s="42">
        <v>0</v>
      </c>
      <c r="FF9" s="42">
        <v>0</v>
      </c>
      <c r="FG9" s="42">
        <v>0</v>
      </c>
      <c r="FH9" s="42">
        <v>0</v>
      </c>
      <c r="FI9" s="42">
        <v>0</v>
      </c>
      <c r="FJ9" s="42">
        <v>0</v>
      </c>
      <c r="FK9" s="42">
        <v>0</v>
      </c>
      <c r="FL9" s="42">
        <v>0</v>
      </c>
      <c r="FM9" s="42">
        <v>0</v>
      </c>
      <c r="FN9" s="42">
        <v>0</v>
      </c>
      <c r="FO9" s="42">
        <v>0</v>
      </c>
      <c r="FP9" s="42">
        <v>0</v>
      </c>
      <c r="FQ9" s="42">
        <v>0</v>
      </c>
      <c r="FR9" s="42">
        <v>0</v>
      </c>
      <c r="FS9" s="42">
        <v>0</v>
      </c>
      <c r="FT9" s="42">
        <v>0</v>
      </c>
      <c r="FU9" s="42">
        <v>0</v>
      </c>
      <c r="FV9" s="42">
        <v>0</v>
      </c>
      <c r="FW9" s="42">
        <v>0</v>
      </c>
      <c r="FX9" s="42">
        <v>0</v>
      </c>
      <c r="FY9" s="42">
        <v>0</v>
      </c>
      <c r="FZ9" s="42">
        <v>0</v>
      </c>
      <c r="GA9" s="42">
        <v>0</v>
      </c>
      <c r="GB9" s="42">
        <v>0</v>
      </c>
      <c r="GC9" s="42">
        <v>0</v>
      </c>
      <c r="GD9" s="42">
        <v>0</v>
      </c>
      <c r="GE9" s="42">
        <v>0</v>
      </c>
      <c r="GF9" s="42">
        <v>0</v>
      </c>
      <c r="GG9" s="42">
        <v>0</v>
      </c>
      <c r="GH9" s="42">
        <v>0</v>
      </c>
      <c r="GI9" s="42">
        <v>0</v>
      </c>
      <c r="GJ9" s="42">
        <v>0</v>
      </c>
      <c r="GK9" s="42">
        <v>0</v>
      </c>
      <c r="GL9" s="42">
        <v>0</v>
      </c>
      <c r="GM9" s="42">
        <v>0</v>
      </c>
      <c r="GN9" s="42">
        <v>0</v>
      </c>
      <c r="GO9" s="42">
        <v>0</v>
      </c>
      <c r="GP9" s="42">
        <v>0</v>
      </c>
      <c r="GQ9" s="42">
        <v>0</v>
      </c>
      <c r="GR9" s="42">
        <v>0</v>
      </c>
      <c r="GS9" s="42">
        <v>0</v>
      </c>
      <c r="GT9" s="42">
        <v>0</v>
      </c>
      <c r="GU9" s="28"/>
      <c r="GV9" s="28"/>
      <c r="GW9" s="28"/>
      <c r="GX9" s="28"/>
      <c r="GY9" s="28"/>
      <c r="GZ9" s="28"/>
      <c r="HA9" s="28"/>
      <c r="HB9" s="29"/>
    </row>
    <row r="10" spans="1:210" ht="16.5" thickTop="1" thickBot="1" x14ac:dyDescent="0.55000000000000004">
      <c r="A10" t="s">
        <v>49</v>
      </c>
      <c r="B10">
        <v>4</v>
      </c>
      <c r="D10" s="101"/>
      <c r="E10" s="99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S10">
        <v>25</v>
      </c>
      <c r="BT10">
        <v>32</v>
      </c>
      <c r="BV10" s="33" t="s">
        <v>48</v>
      </c>
      <c r="BW10" s="38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7"/>
      <c r="EP10" s="33" t="s">
        <v>48</v>
      </c>
      <c r="EQ10" s="38">
        <v>17</v>
      </c>
      <c r="ER10" s="39">
        <v>27</v>
      </c>
      <c r="ES10" s="39">
        <v>49</v>
      </c>
      <c r="ET10" s="39">
        <v>26</v>
      </c>
      <c r="EU10" s="39">
        <v>53</v>
      </c>
      <c r="EV10" s="39">
        <v>54</v>
      </c>
      <c r="EW10" s="39">
        <v>61</v>
      </c>
      <c r="EX10" s="39">
        <v>18</v>
      </c>
      <c r="EY10" s="39">
        <v>45</v>
      </c>
      <c r="EZ10" s="39">
        <v>31</v>
      </c>
      <c r="FA10" s="39">
        <v>41</v>
      </c>
      <c r="FB10" s="39">
        <v>33</v>
      </c>
      <c r="FC10" s="39">
        <v>40</v>
      </c>
      <c r="FD10" s="39">
        <v>56</v>
      </c>
      <c r="FE10" s="39">
        <v>19</v>
      </c>
      <c r="FF10" s="39">
        <v>44</v>
      </c>
      <c r="FG10" s="39">
        <v>51</v>
      </c>
      <c r="FH10" s="39">
        <v>20</v>
      </c>
      <c r="FI10" s="39">
        <v>32</v>
      </c>
      <c r="FJ10" s="39">
        <v>64</v>
      </c>
      <c r="FK10" s="39">
        <v>34</v>
      </c>
      <c r="FL10" s="39">
        <v>29</v>
      </c>
      <c r="FM10" s="39">
        <v>28</v>
      </c>
      <c r="FN10" s="39">
        <v>62</v>
      </c>
      <c r="FO10" s="39">
        <v>46</v>
      </c>
      <c r="FP10" s="39">
        <v>63</v>
      </c>
      <c r="FQ10" s="39">
        <v>39</v>
      </c>
      <c r="FR10" s="39">
        <v>48</v>
      </c>
      <c r="FS10" s="39">
        <v>35</v>
      </c>
      <c r="FT10" s="39">
        <v>21</v>
      </c>
      <c r="FU10" s="39">
        <v>24</v>
      </c>
      <c r="FV10" s="39">
        <v>43</v>
      </c>
      <c r="FW10" s="39">
        <v>25</v>
      </c>
      <c r="FX10" s="39">
        <v>60</v>
      </c>
      <c r="FY10" s="39">
        <v>52</v>
      </c>
      <c r="FZ10" s="39">
        <v>58</v>
      </c>
      <c r="GA10" s="39">
        <v>36</v>
      </c>
      <c r="GB10" s="39">
        <v>42</v>
      </c>
      <c r="GC10" s="39">
        <v>57</v>
      </c>
      <c r="GD10" s="39">
        <v>23</v>
      </c>
      <c r="GE10" s="39">
        <v>50</v>
      </c>
      <c r="GF10" s="39">
        <v>30</v>
      </c>
      <c r="GG10" s="39">
        <v>22</v>
      </c>
      <c r="GH10" s="39">
        <v>37</v>
      </c>
      <c r="GI10" s="39">
        <v>47</v>
      </c>
      <c r="GJ10" s="39">
        <v>59</v>
      </c>
      <c r="GK10" s="39">
        <v>38</v>
      </c>
      <c r="GL10" s="39">
        <v>55</v>
      </c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7"/>
    </row>
    <row r="11" spans="1:210" ht="16.149999999999999" thickBot="1" x14ac:dyDescent="0.55000000000000004">
      <c r="A11" s="24" t="s">
        <v>50</v>
      </c>
      <c r="B11">
        <v>4</v>
      </c>
      <c r="D11" s="100"/>
      <c r="E11" s="98" t="s">
        <v>12</v>
      </c>
      <c r="F11" s="4">
        <v>10</v>
      </c>
      <c r="G11" s="4">
        <v>43</v>
      </c>
      <c r="H11" s="4">
        <v>25</v>
      </c>
      <c r="I11" s="4">
        <v>3</v>
      </c>
      <c r="J11" s="4">
        <v>60</v>
      </c>
      <c r="K11" s="4">
        <v>13</v>
      </c>
      <c r="L11" s="4">
        <v>52</v>
      </c>
      <c r="M11" s="4">
        <v>58</v>
      </c>
      <c r="N11" s="4">
        <v>36</v>
      </c>
      <c r="O11" s="4">
        <v>42</v>
      </c>
      <c r="P11" s="4">
        <v>57</v>
      </c>
      <c r="Q11" s="4">
        <v>23</v>
      </c>
      <c r="R11" s="4">
        <v>12</v>
      </c>
      <c r="S11" s="4">
        <v>50</v>
      </c>
      <c r="T11" s="4">
        <v>30</v>
      </c>
      <c r="U11" s="4">
        <v>22</v>
      </c>
      <c r="V11" s="4">
        <v>37</v>
      </c>
      <c r="W11" s="4">
        <v>5</v>
      </c>
      <c r="X11" s="4">
        <v>47</v>
      </c>
      <c r="Y11" s="4">
        <v>59</v>
      </c>
      <c r="Z11" s="4">
        <v>38</v>
      </c>
      <c r="AA11" s="4">
        <v>1</v>
      </c>
      <c r="AB11" s="4">
        <v>55</v>
      </c>
      <c r="AC11" s="4">
        <v>2</v>
      </c>
      <c r="AD11" s="4">
        <v>17</v>
      </c>
      <c r="AE11" s="4">
        <v>27</v>
      </c>
      <c r="AF11" s="4">
        <v>16</v>
      </c>
      <c r="AG11" s="4">
        <v>49</v>
      </c>
      <c r="AH11" s="4">
        <v>6</v>
      </c>
      <c r="AI11" s="4">
        <v>26</v>
      </c>
      <c r="AJ11" s="4">
        <v>53</v>
      </c>
      <c r="AK11" s="4">
        <v>54</v>
      </c>
      <c r="AL11" s="4">
        <v>61</v>
      </c>
      <c r="AM11" s="4">
        <v>18</v>
      </c>
      <c r="AN11" s="4">
        <v>45</v>
      </c>
      <c r="AO11" s="4">
        <v>31</v>
      </c>
      <c r="AP11" s="4">
        <v>41</v>
      </c>
      <c r="AQ11" s="4">
        <v>33</v>
      </c>
      <c r="AR11" s="4">
        <v>7</v>
      </c>
      <c r="AS11" s="4">
        <v>8</v>
      </c>
      <c r="AT11" s="4">
        <v>15</v>
      </c>
      <c r="AU11" s="4">
        <v>40</v>
      </c>
      <c r="AV11" s="4">
        <v>11</v>
      </c>
      <c r="AW11" s="4">
        <v>56</v>
      </c>
      <c r="AX11" s="4">
        <v>19</v>
      </c>
      <c r="AY11" s="4">
        <v>14</v>
      </c>
      <c r="AZ11" s="4">
        <v>44</v>
      </c>
      <c r="BA11" s="4">
        <v>51</v>
      </c>
      <c r="BB11" s="4">
        <v>20</v>
      </c>
      <c r="BC11" s="4">
        <v>32</v>
      </c>
      <c r="BD11" s="4">
        <v>64</v>
      </c>
      <c r="BE11" s="4">
        <v>34</v>
      </c>
      <c r="BF11" s="4">
        <v>29</v>
      </c>
      <c r="BG11" s="4">
        <v>4</v>
      </c>
      <c r="BH11" s="4">
        <v>28</v>
      </c>
      <c r="BI11" s="4">
        <v>9</v>
      </c>
      <c r="BJ11" s="4">
        <v>62</v>
      </c>
      <c r="BK11" s="4">
        <v>46</v>
      </c>
      <c r="BL11" s="4">
        <v>63</v>
      </c>
      <c r="BM11" s="4">
        <v>39</v>
      </c>
      <c r="BN11" s="4">
        <v>48</v>
      </c>
      <c r="BO11" s="4">
        <v>35</v>
      </c>
      <c r="BP11" s="4">
        <v>21</v>
      </c>
      <c r="BQ11" s="4">
        <v>24</v>
      </c>
      <c r="BS11">
        <v>33</v>
      </c>
      <c r="BT11">
        <v>40</v>
      </c>
      <c r="BV11" s="34" t="s">
        <v>51</v>
      </c>
      <c r="BW11" s="41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9"/>
      <c r="EP11" s="34" t="s">
        <v>51</v>
      </c>
      <c r="EQ11" s="47">
        <v>16</v>
      </c>
      <c r="ER11" s="44">
        <v>15</v>
      </c>
      <c r="ES11" s="44">
        <v>14</v>
      </c>
      <c r="ET11" s="44">
        <v>13</v>
      </c>
      <c r="EU11" s="44">
        <v>12</v>
      </c>
      <c r="EV11" s="44">
        <v>11</v>
      </c>
      <c r="EW11" s="44">
        <v>10</v>
      </c>
      <c r="EX11" s="44">
        <v>9</v>
      </c>
      <c r="EY11" s="42">
        <v>2</v>
      </c>
      <c r="EZ11" s="42">
        <v>4</v>
      </c>
      <c r="FA11" s="42">
        <v>8</v>
      </c>
      <c r="FB11" s="42">
        <v>7</v>
      </c>
      <c r="FC11" s="42">
        <v>6</v>
      </c>
      <c r="FD11" s="42">
        <v>1</v>
      </c>
      <c r="FE11" s="42">
        <v>5</v>
      </c>
      <c r="FF11" s="42">
        <v>3</v>
      </c>
      <c r="FG11" s="42">
        <v>0</v>
      </c>
      <c r="FH11" s="42">
        <v>0</v>
      </c>
      <c r="FI11" s="42">
        <v>0</v>
      </c>
      <c r="FJ11" s="42">
        <v>0</v>
      </c>
      <c r="FK11" s="42">
        <v>0</v>
      </c>
      <c r="FL11" s="42">
        <v>0</v>
      </c>
      <c r="FM11" s="42">
        <v>0</v>
      </c>
      <c r="FN11" s="42">
        <v>0</v>
      </c>
      <c r="FO11" s="42">
        <v>0</v>
      </c>
      <c r="FP11" s="42">
        <v>0</v>
      </c>
      <c r="FQ11" s="42">
        <v>0</v>
      </c>
      <c r="FR11" s="42">
        <v>0</v>
      </c>
      <c r="FS11" s="42">
        <v>0</v>
      </c>
      <c r="FT11" s="42">
        <v>0</v>
      </c>
      <c r="FU11" s="42">
        <v>0</v>
      </c>
      <c r="FV11" s="42">
        <v>0</v>
      </c>
      <c r="FW11" s="42">
        <v>0</v>
      </c>
      <c r="FX11" s="42">
        <v>0</v>
      </c>
      <c r="FY11" s="42">
        <v>0</v>
      </c>
      <c r="FZ11" s="42">
        <v>0</v>
      </c>
      <c r="GA11" s="42">
        <v>0</v>
      </c>
      <c r="GB11" s="42">
        <v>0</v>
      </c>
      <c r="GC11" s="42">
        <v>0</v>
      </c>
      <c r="GD11" s="42">
        <v>0</v>
      </c>
      <c r="GE11" s="42">
        <v>0</v>
      </c>
      <c r="GF11" s="42">
        <v>0</v>
      </c>
      <c r="GG11" s="42">
        <v>0</v>
      </c>
      <c r="GH11" s="42">
        <v>0</v>
      </c>
      <c r="GI11" s="42">
        <v>0</v>
      </c>
      <c r="GJ11" s="42">
        <v>0</v>
      </c>
      <c r="GK11" s="42">
        <v>0</v>
      </c>
      <c r="GL11" s="42">
        <v>0</v>
      </c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9"/>
    </row>
    <row r="12" spans="1:210" ht="16.5" thickTop="1" thickBot="1" x14ac:dyDescent="0.55000000000000004">
      <c r="D12" s="101"/>
      <c r="E12" s="99"/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S12">
        <v>41</v>
      </c>
      <c r="BT12">
        <v>48</v>
      </c>
      <c r="BV12" s="33" t="s">
        <v>48</v>
      </c>
      <c r="BW12" s="38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26"/>
      <c r="EB12" s="26"/>
      <c r="EC12" s="26"/>
      <c r="ED12" s="26"/>
      <c r="EE12" s="26"/>
      <c r="EF12" s="26"/>
      <c r="EG12" s="26"/>
      <c r="EH12" s="27"/>
      <c r="EP12" s="33" t="s">
        <v>48</v>
      </c>
      <c r="EQ12" s="45">
        <v>9</v>
      </c>
      <c r="ER12" s="46">
        <v>10</v>
      </c>
      <c r="ES12" s="46">
        <v>11</v>
      </c>
      <c r="ET12" s="46">
        <v>12</v>
      </c>
      <c r="EU12" s="46">
        <v>13</v>
      </c>
      <c r="EV12" s="46">
        <v>14</v>
      </c>
      <c r="EW12" s="46">
        <v>15</v>
      </c>
      <c r="EX12" s="46">
        <v>16</v>
      </c>
      <c r="EY12" s="39">
        <v>17</v>
      </c>
      <c r="EZ12" s="39">
        <v>27</v>
      </c>
      <c r="FA12" s="39">
        <v>49</v>
      </c>
      <c r="FB12" s="39">
        <v>26</v>
      </c>
      <c r="FC12" s="39">
        <v>53</v>
      </c>
      <c r="FD12" s="39">
        <v>54</v>
      </c>
      <c r="FE12" s="39">
        <v>61</v>
      </c>
      <c r="FF12" s="39">
        <v>18</v>
      </c>
      <c r="FG12" s="39">
        <v>45</v>
      </c>
      <c r="FH12" s="39">
        <v>31</v>
      </c>
      <c r="FI12" s="39">
        <v>41</v>
      </c>
      <c r="FJ12" s="39">
        <v>33</v>
      </c>
      <c r="FK12" s="39">
        <v>40</v>
      </c>
      <c r="FL12" s="39">
        <v>56</v>
      </c>
      <c r="FM12" s="39">
        <v>19</v>
      </c>
      <c r="FN12" s="39">
        <v>44</v>
      </c>
      <c r="FO12" s="39">
        <v>51</v>
      </c>
      <c r="FP12" s="39">
        <v>20</v>
      </c>
      <c r="FQ12" s="39">
        <v>32</v>
      </c>
      <c r="FR12" s="39">
        <v>64</v>
      </c>
      <c r="FS12" s="39">
        <v>34</v>
      </c>
      <c r="FT12" s="39">
        <v>29</v>
      </c>
      <c r="FU12" s="39">
        <v>28</v>
      </c>
      <c r="FV12" s="39">
        <v>62</v>
      </c>
      <c r="FW12" s="39">
        <v>46</v>
      </c>
      <c r="FX12" s="39">
        <v>63</v>
      </c>
      <c r="FY12" s="39">
        <v>39</v>
      </c>
      <c r="FZ12" s="39">
        <v>48</v>
      </c>
      <c r="GA12" s="39">
        <v>35</v>
      </c>
      <c r="GB12" s="39">
        <v>21</v>
      </c>
      <c r="GC12" s="39">
        <v>24</v>
      </c>
      <c r="GD12" s="39">
        <v>43</v>
      </c>
      <c r="GE12" s="39">
        <v>25</v>
      </c>
      <c r="GF12" s="39">
        <v>60</v>
      </c>
      <c r="GG12" s="39">
        <v>52</v>
      </c>
      <c r="GH12" s="39">
        <v>58</v>
      </c>
      <c r="GI12" s="39">
        <v>36</v>
      </c>
      <c r="GJ12" s="39">
        <v>42</v>
      </c>
      <c r="GK12" s="39">
        <v>57</v>
      </c>
      <c r="GL12" s="39">
        <v>23</v>
      </c>
      <c r="GM12" s="39">
        <v>50</v>
      </c>
      <c r="GN12" s="39">
        <v>30</v>
      </c>
      <c r="GO12" s="39">
        <v>22</v>
      </c>
      <c r="GP12" s="39">
        <v>37</v>
      </c>
      <c r="GQ12" s="39">
        <v>47</v>
      </c>
      <c r="GR12" s="39">
        <v>59</v>
      </c>
      <c r="GS12" s="39">
        <v>38</v>
      </c>
      <c r="GT12" s="39">
        <v>55</v>
      </c>
      <c r="GU12" s="26"/>
      <c r="GV12" s="26"/>
      <c r="GW12" s="26"/>
      <c r="GX12" s="26"/>
      <c r="GY12" s="26"/>
      <c r="GZ12" s="26"/>
      <c r="HA12" s="26"/>
      <c r="HB12" s="27"/>
    </row>
    <row r="13" spans="1:210" ht="16.149999999999999" thickBot="1" x14ac:dyDescent="0.55000000000000004">
      <c r="D13" s="100"/>
      <c r="E13" s="98" t="s">
        <v>13</v>
      </c>
      <c r="F13" s="4">
        <v>43</v>
      </c>
      <c r="G13" s="4">
        <v>25</v>
      </c>
      <c r="H13" s="4">
        <v>3</v>
      </c>
      <c r="I13" s="4">
        <v>60</v>
      </c>
      <c r="J13" s="4">
        <v>13</v>
      </c>
      <c r="K13" s="4">
        <v>52</v>
      </c>
      <c r="L13" s="4">
        <v>58</v>
      </c>
      <c r="M13" s="4">
        <v>36</v>
      </c>
      <c r="N13" s="4">
        <v>42</v>
      </c>
      <c r="O13" s="4">
        <v>57</v>
      </c>
      <c r="P13" s="4">
        <v>23</v>
      </c>
      <c r="Q13" s="4">
        <v>12</v>
      </c>
      <c r="R13" s="4">
        <v>50</v>
      </c>
      <c r="S13" s="4">
        <v>30</v>
      </c>
      <c r="T13" s="4">
        <v>22</v>
      </c>
      <c r="U13" s="4">
        <v>37</v>
      </c>
      <c r="V13" s="4">
        <v>5</v>
      </c>
      <c r="W13" s="4">
        <v>47</v>
      </c>
      <c r="X13" s="4">
        <v>59</v>
      </c>
      <c r="Y13" s="4">
        <v>38</v>
      </c>
      <c r="Z13" s="4">
        <v>1</v>
      </c>
      <c r="AA13" s="4">
        <v>55</v>
      </c>
      <c r="AB13" s="4">
        <v>2</v>
      </c>
      <c r="AC13" s="4">
        <v>17</v>
      </c>
      <c r="AD13" s="4">
        <v>27</v>
      </c>
      <c r="AE13" s="4">
        <v>16</v>
      </c>
      <c r="AF13" s="4">
        <v>49</v>
      </c>
      <c r="AG13" s="4">
        <v>6</v>
      </c>
      <c r="AH13" s="4">
        <v>26</v>
      </c>
      <c r="AI13" s="4">
        <v>53</v>
      </c>
      <c r="AJ13" s="4">
        <v>54</v>
      </c>
      <c r="AK13" s="4">
        <v>61</v>
      </c>
      <c r="AL13" s="4">
        <v>18</v>
      </c>
      <c r="AM13" s="4">
        <v>45</v>
      </c>
      <c r="AN13" s="4">
        <v>31</v>
      </c>
      <c r="AO13" s="4">
        <v>41</v>
      </c>
      <c r="AP13" s="4">
        <v>33</v>
      </c>
      <c r="AQ13" s="4">
        <v>7</v>
      </c>
      <c r="AR13" s="4">
        <v>8</v>
      </c>
      <c r="AS13" s="4">
        <v>15</v>
      </c>
      <c r="AT13" s="4">
        <v>40</v>
      </c>
      <c r="AU13" s="4">
        <v>11</v>
      </c>
      <c r="AV13" s="4">
        <v>56</v>
      </c>
      <c r="AW13" s="4">
        <v>19</v>
      </c>
      <c r="AX13" s="4">
        <v>14</v>
      </c>
      <c r="AY13" s="4">
        <v>44</v>
      </c>
      <c r="AZ13" s="4">
        <v>51</v>
      </c>
      <c r="BA13" s="4">
        <v>20</v>
      </c>
      <c r="BB13" s="4">
        <v>32</v>
      </c>
      <c r="BC13" s="4">
        <v>64</v>
      </c>
      <c r="BD13" s="4">
        <v>34</v>
      </c>
      <c r="BE13" s="4">
        <v>29</v>
      </c>
      <c r="BF13" s="4">
        <v>4</v>
      </c>
      <c r="BG13" s="4">
        <v>28</v>
      </c>
      <c r="BH13" s="4">
        <v>9</v>
      </c>
      <c r="BI13" s="4">
        <v>62</v>
      </c>
      <c r="BJ13" s="4">
        <v>46</v>
      </c>
      <c r="BK13" s="4">
        <v>63</v>
      </c>
      <c r="BL13" s="4">
        <v>39</v>
      </c>
      <c r="BM13" s="4">
        <v>48</v>
      </c>
      <c r="BN13" s="4">
        <v>35</v>
      </c>
      <c r="BO13" s="4">
        <v>21</v>
      </c>
      <c r="BP13" s="4">
        <v>24</v>
      </c>
      <c r="BQ13" s="4">
        <v>0</v>
      </c>
      <c r="BS13">
        <v>49</v>
      </c>
      <c r="BT13">
        <v>56</v>
      </c>
      <c r="BV13" s="34" t="s">
        <v>51</v>
      </c>
      <c r="BW13" s="41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28"/>
      <c r="EB13" s="28"/>
      <c r="EC13" s="28"/>
      <c r="ED13" s="28"/>
      <c r="EE13" s="28"/>
      <c r="EF13" s="28"/>
      <c r="EG13" s="28"/>
      <c r="EH13" s="29"/>
      <c r="EP13" s="34" t="s">
        <v>51</v>
      </c>
      <c r="EQ13" s="41">
        <v>2</v>
      </c>
      <c r="ER13" s="42">
        <v>4</v>
      </c>
      <c r="ES13" s="42">
        <v>8</v>
      </c>
      <c r="ET13" s="42">
        <v>7</v>
      </c>
      <c r="EU13" s="42">
        <v>6</v>
      </c>
      <c r="EV13" s="42">
        <v>1</v>
      </c>
      <c r="EW13" s="42">
        <v>5</v>
      </c>
      <c r="EX13" s="42">
        <v>3</v>
      </c>
      <c r="EY13" s="42">
        <v>0</v>
      </c>
      <c r="EZ13" s="42">
        <v>0</v>
      </c>
      <c r="FA13" s="42">
        <v>0</v>
      </c>
      <c r="FB13" s="42">
        <v>0</v>
      </c>
      <c r="FC13" s="42">
        <v>0</v>
      </c>
      <c r="FD13" s="42">
        <v>0</v>
      </c>
      <c r="FE13" s="42">
        <v>0</v>
      </c>
      <c r="FF13" s="42">
        <v>0</v>
      </c>
      <c r="FG13" s="42">
        <v>0</v>
      </c>
      <c r="FH13" s="42">
        <v>0</v>
      </c>
      <c r="FI13" s="42">
        <v>0</v>
      </c>
      <c r="FJ13" s="42">
        <v>0</v>
      </c>
      <c r="FK13" s="42">
        <v>0</v>
      </c>
      <c r="FL13" s="42">
        <v>0</v>
      </c>
      <c r="FM13" s="42">
        <v>0</v>
      </c>
      <c r="FN13" s="42">
        <v>0</v>
      </c>
      <c r="FO13" s="42">
        <v>0</v>
      </c>
      <c r="FP13" s="42">
        <v>0</v>
      </c>
      <c r="FQ13" s="42">
        <v>0</v>
      </c>
      <c r="FR13" s="42">
        <v>0</v>
      </c>
      <c r="FS13" s="42">
        <v>0</v>
      </c>
      <c r="FT13" s="42">
        <v>0</v>
      </c>
      <c r="FU13" s="42">
        <v>0</v>
      </c>
      <c r="FV13" s="42">
        <v>0</v>
      </c>
      <c r="FW13" s="42">
        <v>0</v>
      </c>
      <c r="FX13" s="42">
        <v>0</v>
      </c>
      <c r="FY13" s="42">
        <v>0</v>
      </c>
      <c r="FZ13" s="42">
        <v>0</v>
      </c>
      <c r="GA13" s="42">
        <v>0</v>
      </c>
      <c r="GB13" s="42">
        <v>0</v>
      </c>
      <c r="GC13" s="42">
        <v>0</v>
      </c>
      <c r="GD13" s="42">
        <v>0</v>
      </c>
      <c r="GE13" s="42">
        <v>0</v>
      </c>
      <c r="GF13" s="42">
        <v>0</v>
      </c>
      <c r="GG13" s="42">
        <v>0</v>
      </c>
      <c r="GH13" s="42">
        <v>0</v>
      </c>
      <c r="GI13" s="42">
        <v>0</v>
      </c>
      <c r="GJ13" s="42">
        <v>0</v>
      </c>
      <c r="GK13" s="42">
        <v>0</v>
      </c>
      <c r="GL13" s="42">
        <v>0</v>
      </c>
      <c r="GM13" s="42">
        <v>0</v>
      </c>
      <c r="GN13" s="42">
        <v>0</v>
      </c>
      <c r="GO13" s="42">
        <v>0</v>
      </c>
      <c r="GP13" s="42">
        <v>0</v>
      </c>
      <c r="GQ13" s="42">
        <v>0</v>
      </c>
      <c r="GR13" s="42">
        <v>0</v>
      </c>
      <c r="GS13" s="42">
        <v>0</v>
      </c>
      <c r="GT13" s="42">
        <v>0</v>
      </c>
      <c r="GU13" s="28"/>
      <c r="GV13" s="28"/>
      <c r="GW13" s="28"/>
      <c r="GX13" s="28"/>
      <c r="GY13" s="28"/>
      <c r="GZ13" s="28"/>
      <c r="HA13" s="28"/>
      <c r="HB13" s="29"/>
    </row>
    <row r="14" spans="1:210" ht="16.5" thickTop="1" thickBot="1" x14ac:dyDescent="0.55000000000000004">
      <c r="D14" s="101"/>
      <c r="E14" s="99"/>
      <c r="F14" s="4">
        <v>10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S14">
        <v>57</v>
      </c>
      <c r="BT14">
        <v>64</v>
      </c>
      <c r="BV14" s="33" t="s">
        <v>48</v>
      </c>
      <c r="BW14" s="38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7"/>
      <c r="EP14" s="33" t="s">
        <v>48</v>
      </c>
      <c r="EQ14" s="50">
        <v>1</v>
      </c>
      <c r="ER14" s="51">
        <v>2</v>
      </c>
      <c r="ES14" s="51">
        <v>3</v>
      </c>
      <c r="ET14" s="51">
        <v>4</v>
      </c>
      <c r="EU14" s="51">
        <v>5</v>
      </c>
      <c r="EV14" s="51">
        <v>6</v>
      </c>
      <c r="EW14" s="51">
        <v>7</v>
      </c>
      <c r="EX14" s="51">
        <v>8</v>
      </c>
      <c r="EY14" s="51">
        <v>9</v>
      </c>
      <c r="EZ14" s="51">
        <v>10</v>
      </c>
      <c r="FA14" s="51">
        <v>11</v>
      </c>
      <c r="FB14" s="51">
        <v>12</v>
      </c>
      <c r="FC14" s="51">
        <v>13</v>
      </c>
      <c r="FD14" s="51">
        <v>14</v>
      </c>
      <c r="FE14" s="51">
        <v>15</v>
      </c>
      <c r="FF14" s="51">
        <v>16</v>
      </c>
      <c r="FG14" s="39">
        <v>17</v>
      </c>
      <c r="FH14" s="39">
        <v>27</v>
      </c>
      <c r="FI14" s="39">
        <v>49</v>
      </c>
      <c r="FJ14" s="39">
        <v>26</v>
      </c>
      <c r="FK14" s="39">
        <v>53</v>
      </c>
      <c r="FL14" s="39">
        <v>54</v>
      </c>
      <c r="FM14" s="39">
        <v>61</v>
      </c>
      <c r="FN14" s="39">
        <v>18</v>
      </c>
      <c r="FO14" s="39">
        <v>45</v>
      </c>
      <c r="FP14" s="39">
        <v>31</v>
      </c>
      <c r="FQ14" s="39">
        <v>41</v>
      </c>
      <c r="FR14" s="39">
        <v>33</v>
      </c>
      <c r="FS14" s="39">
        <v>40</v>
      </c>
      <c r="FT14" s="39">
        <v>56</v>
      </c>
      <c r="FU14" s="39">
        <v>19</v>
      </c>
      <c r="FV14" s="39">
        <v>44</v>
      </c>
      <c r="FW14" s="39">
        <v>51</v>
      </c>
      <c r="FX14" s="39">
        <v>20</v>
      </c>
      <c r="FY14" s="39">
        <v>32</v>
      </c>
      <c r="FZ14" s="39">
        <v>64</v>
      </c>
      <c r="GA14" s="39">
        <v>34</v>
      </c>
      <c r="GB14" s="39">
        <v>29</v>
      </c>
      <c r="GC14" s="39">
        <v>28</v>
      </c>
      <c r="GD14" s="39">
        <v>62</v>
      </c>
      <c r="GE14" s="39">
        <v>46</v>
      </c>
      <c r="GF14" s="39">
        <v>63</v>
      </c>
      <c r="GG14" s="39">
        <v>39</v>
      </c>
      <c r="GH14" s="39">
        <v>48</v>
      </c>
      <c r="GI14" s="39">
        <v>35</v>
      </c>
      <c r="GJ14" s="39">
        <v>21</v>
      </c>
      <c r="GK14" s="39">
        <v>24</v>
      </c>
      <c r="GL14" s="39">
        <v>43</v>
      </c>
      <c r="GM14" s="39">
        <v>25</v>
      </c>
      <c r="GN14" s="39">
        <v>60</v>
      </c>
      <c r="GO14" s="39">
        <v>52</v>
      </c>
      <c r="GP14" s="39">
        <v>58</v>
      </c>
      <c r="GQ14" s="39">
        <v>36</v>
      </c>
      <c r="GR14" s="39">
        <v>42</v>
      </c>
      <c r="GS14" s="39">
        <v>57</v>
      </c>
      <c r="GT14" s="39">
        <v>23</v>
      </c>
      <c r="GU14" s="39">
        <v>50</v>
      </c>
      <c r="GV14" s="39">
        <v>30</v>
      </c>
      <c r="GW14" s="39">
        <v>22</v>
      </c>
      <c r="GX14" s="39">
        <v>37</v>
      </c>
      <c r="GY14" s="39">
        <v>47</v>
      </c>
      <c r="GZ14" s="39">
        <v>59</v>
      </c>
      <c r="HA14" s="39">
        <v>38</v>
      </c>
      <c r="HB14" s="37">
        <v>55</v>
      </c>
    </row>
    <row r="15" spans="1:210" ht="16.149999999999999" thickBot="1" x14ac:dyDescent="0.55000000000000004">
      <c r="D15" s="100"/>
      <c r="E15" s="98" t="s">
        <v>12</v>
      </c>
      <c r="F15" s="4">
        <v>25</v>
      </c>
      <c r="G15" s="4">
        <v>3</v>
      </c>
      <c r="H15" s="4">
        <v>60</v>
      </c>
      <c r="I15" s="4">
        <v>13</v>
      </c>
      <c r="J15" s="4">
        <v>52</v>
      </c>
      <c r="K15" s="4">
        <v>58</v>
      </c>
      <c r="L15" s="4">
        <v>36</v>
      </c>
      <c r="M15" s="4">
        <v>42</v>
      </c>
      <c r="N15" s="4">
        <v>57</v>
      </c>
      <c r="O15" s="4">
        <v>23</v>
      </c>
      <c r="P15" s="4">
        <v>12</v>
      </c>
      <c r="Q15" s="4">
        <v>50</v>
      </c>
      <c r="R15" s="4">
        <v>30</v>
      </c>
      <c r="S15" s="4">
        <v>22</v>
      </c>
      <c r="T15" s="4">
        <v>37</v>
      </c>
      <c r="U15" s="4">
        <v>5</v>
      </c>
      <c r="V15" s="4">
        <v>47</v>
      </c>
      <c r="W15" s="4">
        <v>59</v>
      </c>
      <c r="X15" s="4">
        <v>38</v>
      </c>
      <c r="Y15" s="4">
        <v>1</v>
      </c>
      <c r="Z15" s="4">
        <v>55</v>
      </c>
      <c r="AA15" s="4">
        <v>2</v>
      </c>
      <c r="AB15" s="4">
        <v>17</v>
      </c>
      <c r="AC15" s="4">
        <v>27</v>
      </c>
      <c r="AD15" s="4">
        <v>16</v>
      </c>
      <c r="AE15" s="4">
        <v>49</v>
      </c>
      <c r="AF15" s="4">
        <v>6</v>
      </c>
      <c r="AG15" s="4">
        <v>26</v>
      </c>
      <c r="AH15" s="4">
        <v>53</v>
      </c>
      <c r="AI15" s="4">
        <v>54</v>
      </c>
      <c r="AJ15" s="4">
        <v>61</v>
      </c>
      <c r="AK15" s="4">
        <v>18</v>
      </c>
      <c r="AL15" s="4">
        <v>45</v>
      </c>
      <c r="AM15" s="4">
        <v>31</v>
      </c>
      <c r="AN15" s="4">
        <v>41</v>
      </c>
      <c r="AO15" s="4">
        <v>33</v>
      </c>
      <c r="AP15" s="4">
        <v>7</v>
      </c>
      <c r="AQ15" s="4">
        <v>8</v>
      </c>
      <c r="AR15" s="4">
        <v>15</v>
      </c>
      <c r="AS15" s="4">
        <v>40</v>
      </c>
      <c r="AT15" s="4">
        <v>11</v>
      </c>
      <c r="AU15" s="4">
        <v>56</v>
      </c>
      <c r="AV15" s="4">
        <v>19</v>
      </c>
      <c r="AW15" s="4">
        <v>14</v>
      </c>
      <c r="AX15" s="4">
        <v>44</v>
      </c>
      <c r="AY15" s="4">
        <v>51</v>
      </c>
      <c r="AZ15" s="4">
        <v>20</v>
      </c>
      <c r="BA15" s="4">
        <v>32</v>
      </c>
      <c r="BB15" s="4">
        <v>64</v>
      </c>
      <c r="BC15" s="4">
        <v>34</v>
      </c>
      <c r="BD15" s="4">
        <v>29</v>
      </c>
      <c r="BE15" s="4">
        <v>4</v>
      </c>
      <c r="BF15" s="4">
        <v>28</v>
      </c>
      <c r="BG15" s="4">
        <v>9</v>
      </c>
      <c r="BH15" s="4">
        <v>62</v>
      </c>
      <c r="BI15" s="4">
        <v>46</v>
      </c>
      <c r="BJ15" s="4">
        <v>63</v>
      </c>
      <c r="BK15" s="4">
        <v>39</v>
      </c>
      <c r="BL15" s="4">
        <v>48</v>
      </c>
      <c r="BM15" s="4">
        <v>35</v>
      </c>
      <c r="BN15" s="4">
        <v>21</v>
      </c>
      <c r="BO15" s="4">
        <v>24</v>
      </c>
      <c r="BP15" s="4">
        <v>43</v>
      </c>
      <c r="BQ15" s="4">
        <v>0</v>
      </c>
      <c r="BV15" s="34" t="s">
        <v>51</v>
      </c>
      <c r="BW15" s="41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3"/>
      <c r="EP15" s="34" t="s">
        <v>51</v>
      </c>
      <c r="EQ15" s="41">
        <v>0</v>
      </c>
      <c r="ER15" s="42">
        <v>0</v>
      </c>
      <c r="ES15" s="42">
        <v>0</v>
      </c>
      <c r="ET15" s="42">
        <v>0</v>
      </c>
      <c r="EU15" s="42">
        <v>0</v>
      </c>
      <c r="EV15" s="42">
        <v>0</v>
      </c>
      <c r="EW15" s="42">
        <v>0</v>
      </c>
      <c r="EX15" s="42">
        <v>0</v>
      </c>
      <c r="EY15" s="42">
        <v>0</v>
      </c>
      <c r="EZ15" s="42">
        <v>0</v>
      </c>
      <c r="FA15" s="42">
        <v>0</v>
      </c>
      <c r="FB15" s="42">
        <v>0</v>
      </c>
      <c r="FC15" s="42">
        <v>0</v>
      </c>
      <c r="FD15" s="42">
        <v>0</v>
      </c>
      <c r="FE15" s="42">
        <v>0</v>
      </c>
      <c r="FF15" s="42">
        <v>0</v>
      </c>
      <c r="FG15" s="42">
        <v>0</v>
      </c>
      <c r="FH15" s="42">
        <v>0</v>
      </c>
      <c r="FI15" s="42">
        <v>0</v>
      </c>
      <c r="FJ15" s="42">
        <v>0</v>
      </c>
      <c r="FK15" s="42">
        <v>0</v>
      </c>
      <c r="FL15" s="42">
        <v>0</v>
      </c>
      <c r="FM15" s="42">
        <v>0</v>
      </c>
      <c r="FN15" s="42">
        <v>0</v>
      </c>
      <c r="FO15" s="42">
        <v>0</v>
      </c>
      <c r="FP15" s="42">
        <v>0</v>
      </c>
      <c r="FQ15" s="42">
        <v>0</v>
      </c>
      <c r="FR15" s="42">
        <v>0</v>
      </c>
      <c r="FS15" s="42">
        <v>0</v>
      </c>
      <c r="FT15" s="42">
        <v>0</v>
      </c>
      <c r="FU15" s="42">
        <v>0</v>
      </c>
      <c r="FV15" s="42">
        <v>0</v>
      </c>
      <c r="FW15" s="42">
        <v>0</v>
      </c>
      <c r="FX15" s="42">
        <v>0</v>
      </c>
      <c r="FY15" s="42">
        <v>0</v>
      </c>
      <c r="FZ15" s="42">
        <v>0</v>
      </c>
      <c r="GA15" s="42">
        <v>0</v>
      </c>
      <c r="GB15" s="42">
        <v>0</v>
      </c>
      <c r="GC15" s="42">
        <v>0</v>
      </c>
      <c r="GD15" s="42">
        <v>0</v>
      </c>
      <c r="GE15" s="42">
        <v>0</v>
      </c>
      <c r="GF15" s="42">
        <v>0</v>
      </c>
      <c r="GG15" s="42">
        <v>0</v>
      </c>
      <c r="GH15" s="42">
        <v>0</v>
      </c>
      <c r="GI15" s="42">
        <v>0</v>
      </c>
      <c r="GJ15" s="42">
        <v>0</v>
      </c>
      <c r="GK15" s="42">
        <v>0</v>
      </c>
      <c r="GL15" s="42">
        <v>0</v>
      </c>
      <c r="GM15" s="42">
        <v>0</v>
      </c>
      <c r="GN15" s="42">
        <v>0</v>
      </c>
      <c r="GO15" s="42">
        <v>0</v>
      </c>
      <c r="GP15" s="42">
        <v>0</v>
      </c>
      <c r="GQ15" s="42">
        <v>0</v>
      </c>
      <c r="GR15" s="42">
        <v>0</v>
      </c>
      <c r="GS15" s="42">
        <v>0</v>
      </c>
      <c r="GT15" s="42">
        <v>0</v>
      </c>
      <c r="GU15" s="42">
        <v>0</v>
      </c>
      <c r="GV15" s="42">
        <v>0</v>
      </c>
      <c r="GW15" s="42">
        <v>0</v>
      </c>
      <c r="GX15" s="42">
        <v>0</v>
      </c>
      <c r="GY15" s="42">
        <v>0</v>
      </c>
      <c r="GZ15" s="42">
        <v>0</v>
      </c>
      <c r="HA15" s="42">
        <v>0</v>
      </c>
      <c r="HB15" s="43">
        <v>0</v>
      </c>
    </row>
    <row r="16" spans="1:210" ht="16.5" thickTop="1" thickBot="1" x14ac:dyDescent="0.55000000000000004">
      <c r="D16" s="101"/>
      <c r="E16" s="99"/>
      <c r="F16" s="4">
        <v>10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V16" s="33" t="s">
        <v>48</v>
      </c>
      <c r="BW16" s="38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7"/>
      <c r="EP16" s="33" t="s">
        <v>48</v>
      </c>
      <c r="EQ16" s="52">
        <v>17</v>
      </c>
      <c r="ER16" s="40">
        <v>27</v>
      </c>
      <c r="ES16" s="39">
        <v>49</v>
      </c>
      <c r="ET16" s="40">
        <v>26</v>
      </c>
      <c r="EU16" s="39">
        <v>53</v>
      </c>
      <c r="EV16" s="39">
        <v>54</v>
      </c>
      <c r="EW16" s="39">
        <v>61</v>
      </c>
      <c r="EX16" s="40">
        <v>18</v>
      </c>
      <c r="EY16" s="39">
        <v>45</v>
      </c>
      <c r="EZ16" s="40">
        <v>31</v>
      </c>
      <c r="FA16" s="39">
        <v>41</v>
      </c>
      <c r="FB16" s="39">
        <v>33</v>
      </c>
      <c r="FC16" s="39">
        <v>40</v>
      </c>
      <c r="FD16" s="39">
        <v>56</v>
      </c>
      <c r="FE16" s="40">
        <v>19</v>
      </c>
      <c r="FF16" s="39">
        <v>44</v>
      </c>
      <c r="FG16" s="39">
        <v>51</v>
      </c>
      <c r="FH16" s="40">
        <v>20</v>
      </c>
      <c r="FI16" s="40">
        <v>32</v>
      </c>
      <c r="FJ16" s="39">
        <v>64</v>
      </c>
      <c r="FK16" s="39">
        <v>34</v>
      </c>
      <c r="FL16" s="40">
        <v>29</v>
      </c>
      <c r="FM16" s="40">
        <v>28</v>
      </c>
      <c r="FN16" s="39">
        <v>62</v>
      </c>
      <c r="FO16" s="39">
        <v>46</v>
      </c>
      <c r="FP16" s="39">
        <v>63</v>
      </c>
      <c r="FQ16" s="39">
        <v>39</v>
      </c>
      <c r="FR16" s="39">
        <v>48</v>
      </c>
      <c r="FS16" s="39">
        <v>35</v>
      </c>
      <c r="FT16" s="40">
        <v>21</v>
      </c>
      <c r="FU16" s="40">
        <v>24</v>
      </c>
      <c r="FV16" s="39">
        <v>43</v>
      </c>
      <c r="FW16" s="40">
        <v>25</v>
      </c>
      <c r="FX16" s="39">
        <v>60</v>
      </c>
      <c r="FY16" s="39">
        <v>52</v>
      </c>
      <c r="FZ16" s="39">
        <v>58</v>
      </c>
      <c r="GA16" s="39">
        <v>36</v>
      </c>
      <c r="GB16" s="39">
        <v>42</v>
      </c>
      <c r="GC16" s="39">
        <v>57</v>
      </c>
      <c r="GD16" s="40">
        <v>23</v>
      </c>
      <c r="GE16" s="39">
        <v>50</v>
      </c>
      <c r="GF16" s="40">
        <v>30</v>
      </c>
      <c r="GG16" s="40">
        <v>22</v>
      </c>
      <c r="GH16" s="39">
        <v>37</v>
      </c>
      <c r="GI16" s="39">
        <v>47</v>
      </c>
      <c r="GJ16" s="39">
        <v>59</v>
      </c>
      <c r="GK16" s="39">
        <v>38</v>
      </c>
      <c r="GL16" s="39">
        <v>55</v>
      </c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7"/>
    </row>
    <row r="17" spans="4:210" ht="16.149999999999999" thickBot="1" x14ac:dyDescent="0.55000000000000004">
      <c r="D17" s="100"/>
      <c r="E17" s="98" t="s">
        <v>12</v>
      </c>
      <c r="F17" s="4">
        <v>3</v>
      </c>
      <c r="G17" s="4">
        <v>60</v>
      </c>
      <c r="H17" s="4">
        <v>13</v>
      </c>
      <c r="I17" s="4">
        <v>52</v>
      </c>
      <c r="J17" s="4">
        <v>58</v>
      </c>
      <c r="K17" s="4">
        <v>36</v>
      </c>
      <c r="L17" s="4">
        <v>42</v>
      </c>
      <c r="M17" s="4">
        <v>57</v>
      </c>
      <c r="N17" s="4">
        <v>23</v>
      </c>
      <c r="O17" s="4">
        <v>12</v>
      </c>
      <c r="P17" s="4">
        <v>50</v>
      </c>
      <c r="Q17" s="4">
        <v>30</v>
      </c>
      <c r="R17" s="4">
        <v>22</v>
      </c>
      <c r="S17" s="4">
        <v>37</v>
      </c>
      <c r="T17" s="4">
        <v>5</v>
      </c>
      <c r="U17" s="4">
        <v>47</v>
      </c>
      <c r="V17" s="4">
        <v>59</v>
      </c>
      <c r="W17" s="4">
        <v>38</v>
      </c>
      <c r="X17" s="4">
        <v>1</v>
      </c>
      <c r="Y17" s="4">
        <v>55</v>
      </c>
      <c r="Z17" s="4">
        <v>2</v>
      </c>
      <c r="AA17" s="4">
        <v>17</v>
      </c>
      <c r="AB17" s="4">
        <v>27</v>
      </c>
      <c r="AC17" s="4">
        <v>16</v>
      </c>
      <c r="AD17" s="4">
        <v>49</v>
      </c>
      <c r="AE17" s="4">
        <v>6</v>
      </c>
      <c r="AF17" s="4">
        <v>26</v>
      </c>
      <c r="AG17" s="4">
        <v>53</v>
      </c>
      <c r="AH17" s="4">
        <v>54</v>
      </c>
      <c r="AI17" s="4">
        <v>61</v>
      </c>
      <c r="AJ17" s="4">
        <v>18</v>
      </c>
      <c r="AK17" s="4">
        <v>45</v>
      </c>
      <c r="AL17" s="4">
        <v>31</v>
      </c>
      <c r="AM17" s="4">
        <v>41</v>
      </c>
      <c r="AN17" s="4">
        <v>33</v>
      </c>
      <c r="AO17" s="4">
        <v>7</v>
      </c>
      <c r="AP17" s="4">
        <v>8</v>
      </c>
      <c r="AQ17" s="4">
        <v>15</v>
      </c>
      <c r="AR17" s="4">
        <v>40</v>
      </c>
      <c r="AS17" s="4">
        <v>11</v>
      </c>
      <c r="AT17" s="4">
        <v>56</v>
      </c>
      <c r="AU17" s="4">
        <v>19</v>
      </c>
      <c r="AV17" s="4">
        <v>14</v>
      </c>
      <c r="AW17" s="4">
        <v>44</v>
      </c>
      <c r="AX17" s="4">
        <v>51</v>
      </c>
      <c r="AY17" s="4">
        <v>20</v>
      </c>
      <c r="AZ17" s="4">
        <v>32</v>
      </c>
      <c r="BA17" s="4">
        <v>64</v>
      </c>
      <c r="BB17" s="4">
        <v>34</v>
      </c>
      <c r="BC17" s="4">
        <v>29</v>
      </c>
      <c r="BD17" s="4">
        <v>4</v>
      </c>
      <c r="BE17" s="4">
        <v>28</v>
      </c>
      <c r="BF17" s="4">
        <v>9</v>
      </c>
      <c r="BG17" s="4">
        <v>62</v>
      </c>
      <c r="BH17" s="4">
        <v>46</v>
      </c>
      <c r="BI17" s="4">
        <v>63</v>
      </c>
      <c r="BJ17" s="4">
        <v>39</v>
      </c>
      <c r="BK17" s="4">
        <v>48</v>
      </c>
      <c r="BL17" s="4">
        <v>35</v>
      </c>
      <c r="BM17" s="4">
        <v>21</v>
      </c>
      <c r="BN17" s="4">
        <v>24</v>
      </c>
      <c r="BO17" s="4">
        <v>43</v>
      </c>
      <c r="BP17" s="4">
        <v>25</v>
      </c>
      <c r="BQ17" s="4">
        <v>0</v>
      </c>
      <c r="BV17" s="34" t="s">
        <v>51</v>
      </c>
      <c r="BW17" s="41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9"/>
      <c r="EP17" s="34" t="s">
        <v>51</v>
      </c>
      <c r="EQ17" s="53">
        <v>16</v>
      </c>
      <c r="ER17" s="54">
        <v>15</v>
      </c>
      <c r="ES17" s="54">
        <v>14</v>
      </c>
      <c r="ET17" s="54">
        <v>13</v>
      </c>
      <c r="EU17" s="54">
        <v>12</v>
      </c>
      <c r="EV17" s="54">
        <v>11</v>
      </c>
      <c r="EW17" s="54">
        <v>10</v>
      </c>
      <c r="EX17" s="54">
        <v>9</v>
      </c>
      <c r="EY17" s="54">
        <v>8</v>
      </c>
      <c r="EZ17" s="54">
        <v>7</v>
      </c>
      <c r="FA17" s="54">
        <v>6</v>
      </c>
      <c r="FB17" s="54">
        <v>5</v>
      </c>
      <c r="FC17" s="54">
        <v>4</v>
      </c>
      <c r="FD17" s="54">
        <v>3</v>
      </c>
      <c r="FE17" s="54">
        <v>2</v>
      </c>
      <c r="FF17" s="54">
        <v>1</v>
      </c>
      <c r="FG17" s="42">
        <v>0</v>
      </c>
      <c r="FH17" s="42">
        <v>0</v>
      </c>
      <c r="FI17" s="42">
        <v>0</v>
      </c>
      <c r="FJ17" s="42">
        <v>0</v>
      </c>
      <c r="FK17" s="42">
        <v>0</v>
      </c>
      <c r="FL17" s="42">
        <v>0</v>
      </c>
      <c r="FM17" s="42">
        <v>0</v>
      </c>
      <c r="FN17" s="42">
        <v>0</v>
      </c>
      <c r="FO17" s="42">
        <v>0</v>
      </c>
      <c r="FP17" s="42">
        <v>0</v>
      </c>
      <c r="FQ17" s="42">
        <v>0</v>
      </c>
      <c r="FR17" s="42">
        <v>0</v>
      </c>
      <c r="FS17" s="42">
        <v>0</v>
      </c>
      <c r="FT17" s="42">
        <v>0</v>
      </c>
      <c r="FU17" s="42">
        <v>0</v>
      </c>
      <c r="FV17" s="42">
        <v>0</v>
      </c>
      <c r="FW17" s="42">
        <v>0</v>
      </c>
      <c r="FX17" s="42">
        <v>0</v>
      </c>
      <c r="FY17" s="42">
        <v>0</v>
      </c>
      <c r="FZ17" s="42">
        <v>0</v>
      </c>
      <c r="GA17" s="42">
        <v>0</v>
      </c>
      <c r="GB17" s="42">
        <v>0</v>
      </c>
      <c r="GC17" s="42">
        <v>0</v>
      </c>
      <c r="GD17" s="42">
        <v>0</v>
      </c>
      <c r="GE17" s="42">
        <v>0</v>
      </c>
      <c r="GF17" s="42">
        <v>0</v>
      </c>
      <c r="GG17" s="42">
        <v>0</v>
      </c>
      <c r="GH17" s="42">
        <v>0</v>
      </c>
      <c r="GI17" s="42">
        <v>0</v>
      </c>
      <c r="GJ17" s="42">
        <v>0</v>
      </c>
      <c r="GK17" s="42">
        <v>0</v>
      </c>
      <c r="GL17" s="42">
        <v>0</v>
      </c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9"/>
    </row>
    <row r="18" spans="4:210" ht="16.5" thickTop="1" thickBot="1" x14ac:dyDescent="0.55000000000000004">
      <c r="D18" s="101"/>
      <c r="E18" s="99"/>
      <c r="F18" s="4">
        <v>10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V18" s="33" t="s">
        <v>48</v>
      </c>
      <c r="BW18" s="38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7"/>
      <c r="EP18" s="33" t="s">
        <v>48</v>
      </c>
      <c r="EQ18" s="38">
        <v>37</v>
      </c>
      <c r="ER18" s="39">
        <v>47</v>
      </c>
      <c r="ES18" s="39">
        <v>59</v>
      </c>
      <c r="ET18" s="39">
        <v>38</v>
      </c>
      <c r="EU18" s="39">
        <v>55</v>
      </c>
      <c r="EV18" s="39">
        <v>49</v>
      </c>
      <c r="EW18" s="39">
        <v>53</v>
      </c>
      <c r="EX18" s="39">
        <v>54</v>
      </c>
      <c r="EY18" s="39">
        <v>61</v>
      </c>
      <c r="EZ18" s="39">
        <v>45</v>
      </c>
      <c r="FA18" s="39">
        <v>41</v>
      </c>
      <c r="FB18" s="39">
        <v>33</v>
      </c>
      <c r="FC18" s="39">
        <v>40</v>
      </c>
      <c r="FD18" s="39">
        <v>56</v>
      </c>
      <c r="FE18" s="39">
        <v>44</v>
      </c>
      <c r="FF18" s="39">
        <v>51</v>
      </c>
      <c r="FG18" s="39">
        <v>64</v>
      </c>
      <c r="FH18" s="39">
        <v>34</v>
      </c>
      <c r="FI18" s="39">
        <v>62</v>
      </c>
      <c r="FJ18" s="39">
        <v>46</v>
      </c>
      <c r="FK18" s="39">
        <v>63</v>
      </c>
      <c r="FL18" s="39">
        <v>39</v>
      </c>
      <c r="FM18" s="39">
        <v>48</v>
      </c>
      <c r="FN18" s="39">
        <v>35</v>
      </c>
      <c r="FO18" s="39">
        <v>43</v>
      </c>
      <c r="FP18" s="39">
        <v>60</v>
      </c>
      <c r="FQ18" s="39">
        <v>52</v>
      </c>
      <c r="FR18" s="39">
        <v>58</v>
      </c>
      <c r="FS18" s="39">
        <v>36</v>
      </c>
      <c r="FT18" s="39">
        <v>42</v>
      </c>
      <c r="FU18" s="39">
        <v>57</v>
      </c>
      <c r="FV18" s="39">
        <v>50</v>
      </c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7"/>
    </row>
    <row r="19" spans="4:210" ht="16.149999999999999" thickBot="1" x14ac:dyDescent="0.55000000000000004">
      <c r="D19" s="100"/>
      <c r="E19" s="98" t="s">
        <v>13</v>
      </c>
      <c r="F19" s="4">
        <v>60</v>
      </c>
      <c r="G19" s="4">
        <v>13</v>
      </c>
      <c r="H19" s="4">
        <v>52</v>
      </c>
      <c r="I19" s="4">
        <v>58</v>
      </c>
      <c r="J19" s="4">
        <v>36</v>
      </c>
      <c r="K19" s="4">
        <v>42</v>
      </c>
      <c r="L19" s="4">
        <v>57</v>
      </c>
      <c r="M19" s="4">
        <v>23</v>
      </c>
      <c r="N19" s="4">
        <v>12</v>
      </c>
      <c r="O19" s="4">
        <v>50</v>
      </c>
      <c r="P19" s="4">
        <v>30</v>
      </c>
      <c r="Q19" s="4">
        <v>22</v>
      </c>
      <c r="R19" s="4">
        <v>37</v>
      </c>
      <c r="S19" s="4">
        <v>5</v>
      </c>
      <c r="T19" s="4">
        <v>47</v>
      </c>
      <c r="U19" s="4">
        <v>59</v>
      </c>
      <c r="V19" s="4">
        <v>38</v>
      </c>
      <c r="W19" s="4">
        <v>1</v>
      </c>
      <c r="X19" s="4">
        <v>55</v>
      </c>
      <c r="Y19" s="4">
        <v>2</v>
      </c>
      <c r="Z19" s="4">
        <v>17</v>
      </c>
      <c r="AA19" s="4">
        <v>27</v>
      </c>
      <c r="AB19" s="4">
        <v>16</v>
      </c>
      <c r="AC19" s="4">
        <v>49</v>
      </c>
      <c r="AD19" s="4">
        <v>6</v>
      </c>
      <c r="AE19" s="4">
        <v>26</v>
      </c>
      <c r="AF19" s="4">
        <v>53</v>
      </c>
      <c r="AG19" s="4">
        <v>54</v>
      </c>
      <c r="AH19" s="4">
        <v>61</v>
      </c>
      <c r="AI19" s="4">
        <v>18</v>
      </c>
      <c r="AJ19" s="4">
        <v>45</v>
      </c>
      <c r="AK19" s="4">
        <v>31</v>
      </c>
      <c r="AL19" s="4">
        <v>41</v>
      </c>
      <c r="AM19" s="4">
        <v>33</v>
      </c>
      <c r="AN19" s="4">
        <v>7</v>
      </c>
      <c r="AO19" s="4">
        <v>8</v>
      </c>
      <c r="AP19" s="4">
        <v>15</v>
      </c>
      <c r="AQ19" s="4">
        <v>40</v>
      </c>
      <c r="AR19" s="4">
        <v>11</v>
      </c>
      <c r="AS19" s="4">
        <v>56</v>
      </c>
      <c r="AT19" s="4">
        <v>19</v>
      </c>
      <c r="AU19" s="4">
        <v>14</v>
      </c>
      <c r="AV19" s="4">
        <v>44</v>
      </c>
      <c r="AW19" s="4">
        <v>51</v>
      </c>
      <c r="AX19" s="4">
        <v>20</v>
      </c>
      <c r="AY19" s="4">
        <v>32</v>
      </c>
      <c r="AZ19" s="4">
        <v>64</v>
      </c>
      <c r="BA19" s="4">
        <v>34</v>
      </c>
      <c r="BB19" s="4">
        <v>29</v>
      </c>
      <c r="BC19" s="4">
        <v>4</v>
      </c>
      <c r="BD19" s="4">
        <v>28</v>
      </c>
      <c r="BE19" s="4">
        <v>9</v>
      </c>
      <c r="BF19" s="4">
        <v>62</v>
      </c>
      <c r="BG19" s="4">
        <v>46</v>
      </c>
      <c r="BH19" s="4">
        <v>63</v>
      </c>
      <c r="BI19" s="4">
        <v>39</v>
      </c>
      <c r="BJ19" s="4">
        <v>48</v>
      </c>
      <c r="BK19" s="4">
        <v>35</v>
      </c>
      <c r="BL19" s="4">
        <v>21</v>
      </c>
      <c r="BM19" s="4">
        <v>24</v>
      </c>
      <c r="BN19" s="4">
        <v>43</v>
      </c>
      <c r="BO19" s="4">
        <v>25</v>
      </c>
      <c r="BP19" s="4">
        <v>0</v>
      </c>
      <c r="BQ19" s="4">
        <v>0</v>
      </c>
      <c r="BV19" s="34" t="s">
        <v>51</v>
      </c>
      <c r="BW19" s="41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9"/>
      <c r="EP19" s="34" t="s">
        <v>51</v>
      </c>
      <c r="EQ19" s="41">
        <v>22</v>
      </c>
      <c r="ER19" s="57">
        <v>30</v>
      </c>
      <c r="ES19" s="42">
        <v>23</v>
      </c>
      <c r="ET19" s="57">
        <v>25</v>
      </c>
      <c r="EU19" s="42">
        <v>24</v>
      </c>
      <c r="EV19" s="42">
        <v>21</v>
      </c>
      <c r="EW19" s="57">
        <v>28</v>
      </c>
      <c r="EX19" s="57">
        <v>29</v>
      </c>
      <c r="EY19" s="57">
        <v>32</v>
      </c>
      <c r="EZ19" s="42">
        <v>20</v>
      </c>
      <c r="FA19" s="42">
        <v>19</v>
      </c>
      <c r="FB19" s="57">
        <v>31</v>
      </c>
      <c r="FC19" s="42">
        <v>18</v>
      </c>
      <c r="FD19" s="57">
        <v>26</v>
      </c>
      <c r="FE19" s="57">
        <v>27</v>
      </c>
      <c r="FF19" s="42">
        <v>17</v>
      </c>
      <c r="FG19" s="55">
        <v>16</v>
      </c>
      <c r="FH19" s="55">
        <v>15</v>
      </c>
      <c r="FI19" s="55">
        <v>14</v>
      </c>
      <c r="FJ19" s="55">
        <v>13</v>
      </c>
      <c r="FK19" s="55">
        <v>12</v>
      </c>
      <c r="FL19" s="55">
        <v>11</v>
      </c>
      <c r="FM19" s="55">
        <v>10</v>
      </c>
      <c r="FN19" s="55">
        <v>9</v>
      </c>
      <c r="FO19" s="55">
        <v>8</v>
      </c>
      <c r="FP19" s="55">
        <v>7</v>
      </c>
      <c r="FQ19" s="55">
        <v>6</v>
      </c>
      <c r="FR19" s="55">
        <v>5</v>
      </c>
      <c r="FS19" s="55">
        <v>4</v>
      </c>
      <c r="FT19" s="55">
        <v>3</v>
      </c>
      <c r="FU19" s="55">
        <v>2</v>
      </c>
      <c r="FV19" s="55">
        <v>1</v>
      </c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9"/>
    </row>
    <row r="20" spans="4:210" ht="16.5" thickTop="1" thickBot="1" x14ac:dyDescent="0.55000000000000004">
      <c r="D20" s="101"/>
      <c r="E20" s="99"/>
      <c r="F20" s="4">
        <v>3</v>
      </c>
      <c r="G20" s="4">
        <v>10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V20" s="33" t="s">
        <v>48</v>
      </c>
      <c r="BW20" s="38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7"/>
      <c r="EP20" s="33" t="s">
        <v>48</v>
      </c>
      <c r="EQ20" s="48">
        <v>27</v>
      </c>
      <c r="ER20" s="49">
        <v>26</v>
      </c>
      <c r="ES20" s="49">
        <v>31</v>
      </c>
      <c r="ET20" s="49">
        <v>32</v>
      </c>
      <c r="EU20" s="49">
        <v>29</v>
      </c>
      <c r="EV20" s="49">
        <v>28</v>
      </c>
      <c r="EW20" s="49">
        <v>25</v>
      </c>
      <c r="EX20" s="49">
        <v>30</v>
      </c>
      <c r="EY20" s="39">
        <v>37</v>
      </c>
      <c r="EZ20" s="39">
        <v>47</v>
      </c>
      <c r="FA20" s="39">
        <v>59</v>
      </c>
      <c r="FB20" s="39">
        <v>38</v>
      </c>
      <c r="FC20" s="39">
        <v>55</v>
      </c>
      <c r="FD20" s="39">
        <v>49</v>
      </c>
      <c r="FE20" s="39">
        <v>53</v>
      </c>
      <c r="FF20" s="39">
        <v>54</v>
      </c>
      <c r="FG20" s="39">
        <v>61</v>
      </c>
      <c r="FH20" s="39">
        <v>45</v>
      </c>
      <c r="FI20" s="39">
        <v>41</v>
      </c>
      <c r="FJ20" s="39">
        <v>33</v>
      </c>
      <c r="FK20" s="39">
        <v>40</v>
      </c>
      <c r="FL20" s="39">
        <v>56</v>
      </c>
      <c r="FM20" s="39">
        <v>44</v>
      </c>
      <c r="FN20" s="39">
        <v>51</v>
      </c>
      <c r="FO20" s="39">
        <v>64</v>
      </c>
      <c r="FP20" s="39">
        <v>34</v>
      </c>
      <c r="FQ20" s="39">
        <v>62</v>
      </c>
      <c r="FR20" s="39">
        <v>46</v>
      </c>
      <c r="FS20" s="39">
        <v>63</v>
      </c>
      <c r="FT20" s="39">
        <v>39</v>
      </c>
      <c r="FU20" s="39">
        <v>48</v>
      </c>
      <c r="FV20" s="39">
        <v>35</v>
      </c>
      <c r="FW20" s="39">
        <v>43</v>
      </c>
      <c r="FX20" s="39">
        <v>60</v>
      </c>
      <c r="FY20" s="39">
        <v>52</v>
      </c>
      <c r="FZ20" s="39">
        <v>58</v>
      </c>
      <c r="GA20" s="39">
        <v>36</v>
      </c>
      <c r="GB20" s="39">
        <v>42</v>
      </c>
      <c r="GC20" s="39">
        <v>57</v>
      </c>
      <c r="GD20" s="39">
        <v>50</v>
      </c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7"/>
    </row>
    <row r="21" spans="4:210" ht="16.149999999999999" thickBot="1" x14ac:dyDescent="0.55000000000000004">
      <c r="D21" s="100"/>
      <c r="E21" s="98" t="s">
        <v>12</v>
      </c>
      <c r="F21" s="4">
        <v>13</v>
      </c>
      <c r="G21" s="4">
        <v>52</v>
      </c>
      <c r="H21" s="4">
        <v>58</v>
      </c>
      <c r="I21" s="4">
        <v>36</v>
      </c>
      <c r="J21" s="4">
        <v>42</v>
      </c>
      <c r="K21" s="4">
        <v>57</v>
      </c>
      <c r="L21" s="4">
        <v>23</v>
      </c>
      <c r="M21" s="4">
        <v>12</v>
      </c>
      <c r="N21" s="4">
        <v>50</v>
      </c>
      <c r="O21" s="4">
        <v>30</v>
      </c>
      <c r="P21" s="4">
        <v>22</v>
      </c>
      <c r="Q21" s="4">
        <v>37</v>
      </c>
      <c r="R21" s="4">
        <v>5</v>
      </c>
      <c r="S21" s="4">
        <v>47</v>
      </c>
      <c r="T21" s="4">
        <v>59</v>
      </c>
      <c r="U21" s="4">
        <v>38</v>
      </c>
      <c r="V21" s="4">
        <v>1</v>
      </c>
      <c r="W21" s="4">
        <v>55</v>
      </c>
      <c r="X21" s="4">
        <v>2</v>
      </c>
      <c r="Y21" s="4">
        <v>17</v>
      </c>
      <c r="Z21" s="4">
        <v>27</v>
      </c>
      <c r="AA21" s="4">
        <v>16</v>
      </c>
      <c r="AB21" s="4">
        <v>49</v>
      </c>
      <c r="AC21" s="4">
        <v>6</v>
      </c>
      <c r="AD21" s="4">
        <v>26</v>
      </c>
      <c r="AE21" s="4">
        <v>53</v>
      </c>
      <c r="AF21" s="4">
        <v>54</v>
      </c>
      <c r="AG21" s="4">
        <v>61</v>
      </c>
      <c r="AH21" s="4">
        <v>18</v>
      </c>
      <c r="AI21" s="4">
        <v>45</v>
      </c>
      <c r="AJ21" s="4">
        <v>31</v>
      </c>
      <c r="AK21" s="4">
        <v>41</v>
      </c>
      <c r="AL21" s="4">
        <v>33</v>
      </c>
      <c r="AM21" s="4">
        <v>7</v>
      </c>
      <c r="AN21" s="4">
        <v>8</v>
      </c>
      <c r="AO21" s="4">
        <v>15</v>
      </c>
      <c r="AP21" s="4">
        <v>40</v>
      </c>
      <c r="AQ21" s="4">
        <v>11</v>
      </c>
      <c r="AR21" s="4">
        <v>56</v>
      </c>
      <c r="AS21" s="4">
        <v>19</v>
      </c>
      <c r="AT21" s="4">
        <v>14</v>
      </c>
      <c r="AU21" s="4">
        <v>44</v>
      </c>
      <c r="AV21" s="4">
        <v>51</v>
      </c>
      <c r="AW21" s="4">
        <v>20</v>
      </c>
      <c r="AX21" s="4">
        <v>32</v>
      </c>
      <c r="AY21" s="4">
        <v>64</v>
      </c>
      <c r="AZ21" s="4">
        <v>34</v>
      </c>
      <c r="BA21" s="4">
        <v>29</v>
      </c>
      <c r="BB21" s="4">
        <v>4</v>
      </c>
      <c r="BC21" s="4">
        <v>28</v>
      </c>
      <c r="BD21" s="4">
        <v>9</v>
      </c>
      <c r="BE21" s="4">
        <v>62</v>
      </c>
      <c r="BF21" s="4">
        <v>46</v>
      </c>
      <c r="BG21" s="4">
        <v>63</v>
      </c>
      <c r="BH21" s="4">
        <v>39</v>
      </c>
      <c r="BI21" s="4">
        <v>48</v>
      </c>
      <c r="BJ21" s="4">
        <v>35</v>
      </c>
      <c r="BK21" s="4">
        <v>21</v>
      </c>
      <c r="BL21" s="4">
        <v>24</v>
      </c>
      <c r="BM21" s="4">
        <v>43</v>
      </c>
      <c r="BN21" s="4">
        <v>25</v>
      </c>
      <c r="BO21" s="4">
        <v>60</v>
      </c>
      <c r="BP21" s="4">
        <v>0</v>
      </c>
      <c r="BQ21" s="4">
        <v>0</v>
      </c>
      <c r="BV21" s="34" t="s">
        <v>51</v>
      </c>
      <c r="BW21" s="41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9"/>
      <c r="EP21" s="34" t="s">
        <v>51</v>
      </c>
      <c r="EQ21" s="41">
        <v>17</v>
      </c>
      <c r="ER21" s="55">
        <v>16</v>
      </c>
      <c r="ES21" s="55">
        <v>15</v>
      </c>
      <c r="ET21" s="55">
        <v>14</v>
      </c>
      <c r="EU21" s="55">
        <v>13</v>
      </c>
      <c r="EV21" s="55">
        <v>12</v>
      </c>
      <c r="EW21" s="55">
        <v>11</v>
      </c>
      <c r="EX21" s="55">
        <v>10</v>
      </c>
      <c r="EY21" s="55">
        <v>9</v>
      </c>
      <c r="EZ21" s="55">
        <v>8</v>
      </c>
      <c r="FA21" s="55">
        <v>7</v>
      </c>
      <c r="FB21" s="55">
        <v>6</v>
      </c>
      <c r="FC21" s="55">
        <v>5</v>
      </c>
      <c r="FD21" s="55">
        <v>4</v>
      </c>
      <c r="FE21" s="55">
        <v>3</v>
      </c>
      <c r="FF21" s="55">
        <v>2</v>
      </c>
      <c r="FG21" s="55">
        <v>1</v>
      </c>
      <c r="FH21" s="42">
        <v>22</v>
      </c>
      <c r="FI21" s="42">
        <v>23</v>
      </c>
      <c r="FJ21" s="42">
        <v>24</v>
      </c>
      <c r="FK21" s="42">
        <v>21</v>
      </c>
      <c r="FL21" s="42">
        <v>20</v>
      </c>
      <c r="FM21" s="42">
        <v>19</v>
      </c>
      <c r="FN21" s="42">
        <v>18</v>
      </c>
      <c r="FO21" s="42">
        <v>0</v>
      </c>
      <c r="FP21" s="42">
        <v>0</v>
      </c>
      <c r="FQ21" s="42">
        <v>0</v>
      </c>
      <c r="FR21" s="42">
        <v>0</v>
      </c>
      <c r="FS21" s="42">
        <v>0</v>
      </c>
      <c r="FT21" s="42">
        <v>0</v>
      </c>
      <c r="FU21" s="42">
        <v>0</v>
      </c>
      <c r="FV21" s="42">
        <v>0</v>
      </c>
      <c r="FW21" s="42">
        <v>0</v>
      </c>
      <c r="FX21" s="42">
        <v>0</v>
      </c>
      <c r="FY21" s="42">
        <v>0</v>
      </c>
      <c r="FZ21" s="42">
        <v>0</v>
      </c>
      <c r="GA21" s="42">
        <v>0</v>
      </c>
      <c r="GB21" s="42">
        <v>0</v>
      </c>
      <c r="GC21" s="42">
        <v>0</v>
      </c>
      <c r="GD21" s="42">
        <v>0</v>
      </c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9"/>
    </row>
    <row r="22" spans="4:210" ht="16.5" thickTop="1" thickBot="1" x14ac:dyDescent="0.55000000000000004">
      <c r="D22" s="101"/>
      <c r="E22" s="99"/>
      <c r="F22" s="4">
        <v>3</v>
      </c>
      <c r="G22" s="4">
        <v>10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V22" s="33" t="s">
        <v>48</v>
      </c>
      <c r="BW22" s="38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7"/>
      <c r="EP22" s="33" t="s">
        <v>48</v>
      </c>
      <c r="EQ22" s="48">
        <v>27</v>
      </c>
      <c r="ER22" s="49">
        <v>26</v>
      </c>
      <c r="ES22" s="49">
        <v>31</v>
      </c>
      <c r="ET22" s="49">
        <v>32</v>
      </c>
      <c r="EU22" s="49">
        <v>29</v>
      </c>
      <c r="EV22" s="49">
        <v>28</v>
      </c>
      <c r="EW22" s="49">
        <v>25</v>
      </c>
      <c r="EX22" s="49">
        <v>30</v>
      </c>
      <c r="EY22" s="39">
        <v>37</v>
      </c>
      <c r="EZ22" s="39">
        <v>47</v>
      </c>
      <c r="FA22" s="39">
        <v>59</v>
      </c>
      <c r="FB22" s="39">
        <v>38</v>
      </c>
      <c r="FC22" s="39">
        <v>55</v>
      </c>
      <c r="FD22" s="39">
        <v>49</v>
      </c>
      <c r="FE22" s="39">
        <v>53</v>
      </c>
      <c r="FF22" s="39">
        <v>54</v>
      </c>
      <c r="FG22" s="39">
        <v>61</v>
      </c>
      <c r="FH22" s="39">
        <v>45</v>
      </c>
      <c r="FI22" s="39">
        <v>41</v>
      </c>
      <c r="FJ22" s="39">
        <v>33</v>
      </c>
      <c r="FK22" s="39">
        <v>40</v>
      </c>
      <c r="FL22" s="39">
        <v>56</v>
      </c>
      <c r="FM22" s="39">
        <v>44</v>
      </c>
      <c r="FN22" s="39">
        <v>51</v>
      </c>
      <c r="FO22" s="39">
        <v>64</v>
      </c>
      <c r="FP22" s="39">
        <v>34</v>
      </c>
      <c r="FQ22" s="39">
        <v>62</v>
      </c>
      <c r="FR22" s="39">
        <v>46</v>
      </c>
      <c r="FS22" s="39">
        <v>63</v>
      </c>
      <c r="FT22" s="39">
        <v>39</v>
      </c>
      <c r="FU22" s="39">
        <v>48</v>
      </c>
      <c r="FV22" s="39">
        <v>35</v>
      </c>
      <c r="FW22" s="39">
        <v>43</v>
      </c>
      <c r="FX22" s="39">
        <v>60</v>
      </c>
      <c r="FY22" s="39">
        <v>52</v>
      </c>
      <c r="FZ22" s="39">
        <v>58</v>
      </c>
      <c r="GA22" s="39">
        <v>36</v>
      </c>
      <c r="GB22" s="39">
        <v>42</v>
      </c>
      <c r="GC22" s="39">
        <v>57</v>
      </c>
      <c r="GD22" s="39">
        <v>50</v>
      </c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7"/>
    </row>
    <row r="23" spans="4:210" ht="16.149999999999999" thickBot="1" x14ac:dyDescent="0.55000000000000004">
      <c r="D23" s="100"/>
      <c r="E23" s="98" t="s">
        <v>13</v>
      </c>
      <c r="F23" s="4">
        <v>52</v>
      </c>
      <c r="G23" s="4">
        <v>58</v>
      </c>
      <c r="H23" s="4">
        <v>36</v>
      </c>
      <c r="I23" s="4">
        <v>42</v>
      </c>
      <c r="J23" s="4">
        <v>57</v>
      </c>
      <c r="K23" s="4">
        <v>23</v>
      </c>
      <c r="L23" s="4">
        <v>12</v>
      </c>
      <c r="M23" s="4">
        <v>50</v>
      </c>
      <c r="N23" s="4">
        <v>30</v>
      </c>
      <c r="O23" s="4">
        <v>22</v>
      </c>
      <c r="P23" s="4">
        <v>37</v>
      </c>
      <c r="Q23" s="4">
        <v>5</v>
      </c>
      <c r="R23" s="4">
        <v>47</v>
      </c>
      <c r="S23" s="4">
        <v>59</v>
      </c>
      <c r="T23" s="4">
        <v>38</v>
      </c>
      <c r="U23" s="4">
        <v>1</v>
      </c>
      <c r="V23" s="4">
        <v>55</v>
      </c>
      <c r="W23" s="4">
        <v>2</v>
      </c>
      <c r="X23" s="4">
        <v>17</v>
      </c>
      <c r="Y23" s="4">
        <v>27</v>
      </c>
      <c r="Z23" s="4">
        <v>16</v>
      </c>
      <c r="AA23" s="4">
        <v>49</v>
      </c>
      <c r="AB23" s="4">
        <v>6</v>
      </c>
      <c r="AC23" s="4">
        <v>26</v>
      </c>
      <c r="AD23" s="4">
        <v>53</v>
      </c>
      <c r="AE23" s="4">
        <v>54</v>
      </c>
      <c r="AF23" s="4">
        <v>61</v>
      </c>
      <c r="AG23" s="4">
        <v>18</v>
      </c>
      <c r="AH23" s="4">
        <v>45</v>
      </c>
      <c r="AI23" s="4">
        <v>31</v>
      </c>
      <c r="AJ23" s="4">
        <v>41</v>
      </c>
      <c r="AK23" s="4">
        <v>33</v>
      </c>
      <c r="AL23" s="4">
        <v>7</v>
      </c>
      <c r="AM23" s="4">
        <v>8</v>
      </c>
      <c r="AN23" s="4">
        <v>15</v>
      </c>
      <c r="AO23" s="4">
        <v>40</v>
      </c>
      <c r="AP23" s="4">
        <v>11</v>
      </c>
      <c r="AQ23" s="4">
        <v>56</v>
      </c>
      <c r="AR23" s="4">
        <v>19</v>
      </c>
      <c r="AS23" s="4">
        <v>14</v>
      </c>
      <c r="AT23" s="4">
        <v>44</v>
      </c>
      <c r="AU23" s="4">
        <v>51</v>
      </c>
      <c r="AV23" s="4">
        <v>20</v>
      </c>
      <c r="AW23" s="4">
        <v>32</v>
      </c>
      <c r="AX23" s="4">
        <v>64</v>
      </c>
      <c r="AY23" s="4">
        <v>34</v>
      </c>
      <c r="AZ23" s="4">
        <v>29</v>
      </c>
      <c r="BA23" s="4">
        <v>4</v>
      </c>
      <c r="BB23" s="4">
        <v>28</v>
      </c>
      <c r="BC23" s="4">
        <v>9</v>
      </c>
      <c r="BD23" s="4">
        <v>62</v>
      </c>
      <c r="BE23" s="4">
        <v>46</v>
      </c>
      <c r="BF23" s="4">
        <v>63</v>
      </c>
      <c r="BG23" s="4">
        <v>39</v>
      </c>
      <c r="BH23" s="4">
        <v>48</v>
      </c>
      <c r="BI23" s="4">
        <v>35</v>
      </c>
      <c r="BJ23" s="4">
        <v>21</v>
      </c>
      <c r="BK23" s="4">
        <v>24</v>
      </c>
      <c r="BL23" s="4">
        <v>43</v>
      </c>
      <c r="BM23" s="4">
        <v>25</v>
      </c>
      <c r="BN23" s="4">
        <v>60</v>
      </c>
      <c r="BO23" s="4">
        <v>0</v>
      </c>
      <c r="BP23" s="4">
        <v>0</v>
      </c>
      <c r="BQ23" s="4">
        <v>0</v>
      </c>
      <c r="BV23" s="34" t="s">
        <v>51</v>
      </c>
      <c r="BW23" s="41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9"/>
      <c r="EP23" s="34" t="s">
        <v>51</v>
      </c>
      <c r="EQ23" s="41">
        <v>22</v>
      </c>
      <c r="ER23" s="42">
        <v>23</v>
      </c>
      <c r="ES23" s="42">
        <v>24</v>
      </c>
      <c r="ET23" s="42">
        <v>21</v>
      </c>
      <c r="EU23" s="42">
        <v>20</v>
      </c>
      <c r="EV23" s="42">
        <v>19</v>
      </c>
      <c r="EW23" s="42">
        <v>18</v>
      </c>
      <c r="EX23" s="42">
        <v>17</v>
      </c>
      <c r="EY23" s="55">
        <v>16</v>
      </c>
      <c r="EZ23" s="55">
        <v>15</v>
      </c>
      <c r="FA23" s="55">
        <v>14</v>
      </c>
      <c r="FB23" s="55">
        <v>13</v>
      </c>
      <c r="FC23" s="55">
        <v>12</v>
      </c>
      <c r="FD23" s="55">
        <v>11</v>
      </c>
      <c r="FE23" s="55">
        <v>10</v>
      </c>
      <c r="FF23" s="55">
        <v>9</v>
      </c>
      <c r="FG23" s="55">
        <v>8</v>
      </c>
      <c r="FH23" s="55">
        <v>7</v>
      </c>
      <c r="FI23" s="55">
        <v>6</v>
      </c>
      <c r="FJ23" s="55">
        <v>5</v>
      </c>
      <c r="FK23" s="55">
        <v>4</v>
      </c>
      <c r="FL23" s="55">
        <v>3</v>
      </c>
      <c r="FM23" s="55">
        <v>2</v>
      </c>
      <c r="FN23" s="55">
        <v>1</v>
      </c>
      <c r="FO23" s="42">
        <v>0</v>
      </c>
      <c r="FP23" s="42">
        <v>0</v>
      </c>
      <c r="FQ23" s="42">
        <v>0</v>
      </c>
      <c r="FR23" s="42">
        <v>0</v>
      </c>
      <c r="FS23" s="42">
        <v>0</v>
      </c>
      <c r="FT23" s="42">
        <v>0</v>
      </c>
      <c r="FU23" s="42">
        <v>0</v>
      </c>
      <c r="FV23" s="42">
        <v>0</v>
      </c>
      <c r="FW23" s="42">
        <v>0</v>
      </c>
      <c r="FX23" s="42">
        <v>0</v>
      </c>
      <c r="FY23" s="42">
        <v>0</v>
      </c>
      <c r="FZ23" s="42">
        <v>0</v>
      </c>
      <c r="GA23" s="42">
        <v>0</v>
      </c>
      <c r="GB23" s="42">
        <v>0</v>
      </c>
      <c r="GC23" s="42">
        <v>0</v>
      </c>
      <c r="GD23" s="42">
        <v>0</v>
      </c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9"/>
    </row>
    <row r="24" spans="4:210" ht="16.5" thickTop="1" thickBot="1" x14ac:dyDescent="0.55000000000000004">
      <c r="D24" s="101"/>
      <c r="E24" s="99"/>
      <c r="F24" s="4">
        <v>13</v>
      </c>
      <c r="G24" s="4">
        <v>3</v>
      </c>
      <c r="H24" s="4">
        <v>10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V24" s="33" t="s">
        <v>48</v>
      </c>
      <c r="BW24" s="38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7"/>
      <c r="EP24" s="33" t="s">
        <v>48</v>
      </c>
      <c r="EQ24" s="38">
        <v>37</v>
      </c>
      <c r="ER24" s="39">
        <v>47</v>
      </c>
      <c r="ES24" s="39">
        <v>59</v>
      </c>
      <c r="ET24" s="39">
        <v>38</v>
      </c>
      <c r="EU24" s="39">
        <v>55</v>
      </c>
      <c r="EV24" s="39">
        <v>49</v>
      </c>
      <c r="EW24" s="39">
        <v>53</v>
      </c>
      <c r="EX24" s="39">
        <v>54</v>
      </c>
      <c r="EY24" s="39">
        <v>61</v>
      </c>
      <c r="EZ24" s="39">
        <v>45</v>
      </c>
      <c r="FA24" s="39">
        <v>41</v>
      </c>
      <c r="FB24" s="39">
        <v>33</v>
      </c>
      <c r="FC24" s="39">
        <v>40</v>
      </c>
      <c r="FD24" s="39">
        <v>56</v>
      </c>
      <c r="FE24" s="39">
        <v>44</v>
      </c>
      <c r="FF24" s="39">
        <v>51</v>
      </c>
      <c r="FG24" s="39">
        <v>64</v>
      </c>
      <c r="FH24" s="39">
        <v>34</v>
      </c>
      <c r="FI24" s="39">
        <v>62</v>
      </c>
      <c r="FJ24" s="39">
        <v>46</v>
      </c>
      <c r="FK24" s="39">
        <v>63</v>
      </c>
      <c r="FL24" s="39">
        <v>39</v>
      </c>
      <c r="FM24" s="39">
        <v>48</v>
      </c>
      <c r="FN24" s="39">
        <v>35</v>
      </c>
      <c r="FO24" s="39">
        <v>43</v>
      </c>
      <c r="FP24" s="39">
        <v>60</v>
      </c>
      <c r="FQ24" s="39">
        <v>52</v>
      </c>
      <c r="FR24" s="39">
        <v>58</v>
      </c>
      <c r="FS24" s="39">
        <v>36</v>
      </c>
      <c r="FT24" s="39">
        <v>42</v>
      </c>
      <c r="FU24" s="39">
        <v>57</v>
      </c>
      <c r="FV24" s="39">
        <v>50</v>
      </c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7"/>
    </row>
    <row r="25" spans="4:210" ht="16.149999999999999" thickBot="1" x14ac:dyDescent="0.55000000000000004">
      <c r="D25" s="100"/>
      <c r="E25" s="98" t="s">
        <v>12</v>
      </c>
      <c r="F25" s="4">
        <v>58</v>
      </c>
      <c r="G25" s="4">
        <v>36</v>
      </c>
      <c r="H25" s="4">
        <v>42</v>
      </c>
      <c r="I25" s="4">
        <v>57</v>
      </c>
      <c r="J25" s="4">
        <v>23</v>
      </c>
      <c r="K25" s="4">
        <v>12</v>
      </c>
      <c r="L25" s="4">
        <v>50</v>
      </c>
      <c r="M25" s="4">
        <v>30</v>
      </c>
      <c r="N25" s="4">
        <v>22</v>
      </c>
      <c r="O25" s="4">
        <v>37</v>
      </c>
      <c r="P25" s="4">
        <v>5</v>
      </c>
      <c r="Q25" s="4">
        <v>47</v>
      </c>
      <c r="R25" s="4">
        <v>59</v>
      </c>
      <c r="S25" s="4">
        <v>38</v>
      </c>
      <c r="T25" s="4">
        <v>1</v>
      </c>
      <c r="U25" s="4">
        <v>55</v>
      </c>
      <c r="V25" s="4">
        <v>2</v>
      </c>
      <c r="W25" s="4">
        <v>17</v>
      </c>
      <c r="X25" s="4">
        <v>27</v>
      </c>
      <c r="Y25" s="4">
        <v>16</v>
      </c>
      <c r="Z25" s="4">
        <v>49</v>
      </c>
      <c r="AA25" s="4">
        <v>6</v>
      </c>
      <c r="AB25" s="4">
        <v>26</v>
      </c>
      <c r="AC25" s="4">
        <v>53</v>
      </c>
      <c r="AD25" s="4">
        <v>54</v>
      </c>
      <c r="AE25" s="4">
        <v>61</v>
      </c>
      <c r="AF25" s="4">
        <v>18</v>
      </c>
      <c r="AG25" s="4">
        <v>45</v>
      </c>
      <c r="AH25" s="4">
        <v>31</v>
      </c>
      <c r="AI25" s="4">
        <v>41</v>
      </c>
      <c r="AJ25" s="4">
        <v>33</v>
      </c>
      <c r="AK25" s="4">
        <v>7</v>
      </c>
      <c r="AL25" s="4">
        <v>8</v>
      </c>
      <c r="AM25" s="4">
        <v>15</v>
      </c>
      <c r="AN25" s="4">
        <v>40</v>
      </c>
      <c r="AO25" s="4">
        <v>11</v>
      </c>
      <c r="AP25" s="4">
        <v>56</v>
      </c>
      <c r="AQ25" s="4">
        <v>19</v>
      </c>
      <c r="AR25" s="4">
        <v>14</v>
      </c>
      <c r="AS25" s="4">
        <v>44</v>
      </c>
      <c r="AT25" s="4">
        <v>51</v>
      </c>
      <c r="AU25" s="4">
        <v>20</v>
      </c>
      <c r="AV25" s="4">
        <v>32</v>
      </c>
      <c r="AW25" s="4">
        <v>64</v>
      </c>
      <c r="AX25" s="4">
        <v>34</v>
      </c>
      <c r="AY25" s="4">
        <v>29</v>
      </c>
      <c r="AZ25" s="4">
        <v>4</v>
      </c>
      <c r="BA25" s="4">
        <v>28</v>
      </c>
      <c r="BB25" s="4">
        <v>9</v>
      </c>
      <c r="BC25" s="4">
        <v>62</v>
      </c>
      <c r="BD25" s="4">
        <v>46</v>
      </c>
      <c r="BE25" s="4">
        <v>63</v>
      </c>
      <c r="BF25" s="4">
        <v>39</v>
      </c>
      <c r="BG25" s="4">
        <v>48</v>
      </c>
      <c r="BH25" s="4">
        <v>35</v>
      </c>
      <c r="BI25" s="4">
        <v>21</v>
      </c>
      <c r="BJ25" s="4">
        <v>24</v>
      </c>
      <c r="BK25" s="4">
        <v>43</v>
      </c>
      <c r="BL25" s="4">
        <v>25</v>
      </c>
      <c r="BM25" s="4">
        <v>60</v>
      </c>
      <c r="BN25" s="4">
        <v>52</v>
      </c>
      <c r="BO25" s="4">
        <v>0</v>
      </c>
      <c r="BP25" s="4">
        <v>0</v>
      </c>
      <c r="BQ25" s="4">
        <v>0</v>
      </c>
      <c r="BV25" s="34" t="s">
        <v>51</v>
      </c>
      <c r="BW25" s="41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9"/>
      <c r="EP25" s="34" t="s">
        <v>51</v>
      </c>
      <c r="EQ25" s="56">
        <v>32</v>
      </c>
      <c r="ER25" s="57">
        <v>31</v>
      </c>
      <c r="ES25" s="57">
        <v>30</v>
      </c>
      <c r="ET25" s="57">
        <v>29</v>
      </c>
      <c r="EU25" s="57">
        <v>28</v>
      </c>
      <c r="EV25" s="57">
        <v>27</v>
      </c>
      <c r="EW25" s="57">
        <v>26</v>
      </c>
      <c r="EX25" s="57">
        <v>25</v>
      </c>
      <c r="EY25" s="42">
        <v>22</v>
      </c>
      <c r="EZ25" s="42">
        <v>23</v>
      </c>
      <c r="FA25" s="42">
        <v>24</v>
      </c>
      <c r="FB25" s="42">
        <v>21</v>
      </c>
      <c r="FC25" s="42">
        <v>20</v>
      </c>
      <c r="FD25" s="42">
        <v>19</v>
      </c>
      <c r="FE25" s="42">
        <v>18</v>
      </c>
      <c r="FF25" s="42">
        <v>17</v>
      </c>
      <c r="FG25" s="42">
        <v>16</v>
      </c>
      <c r="FH25" s="42">
        <v>15</v>
      </c>
      <c r="FI25" s="42">
        <v>14</v>
      </c>
      <c r="FJ25" s="42">
        <v>13</v>
      </c>
      <c r="FK25" s="42">
        <v>12</v>
      </c>
      <c r="FL25" s="42">
        <v>11</v>
      </c>
      <c r="FM25" s="42">
        <v>10</v>
      </c>
      <c r="FN25" s="42">
        <v>9</v>
      </c>
      <c r="FO25" s="42">
        <v>8</v>
      </c>
      <c r="FP25" s="42">
        <v>7</v>
      </c>
      <c r="FQ25" s="42">
        <v>6</v>
      </c>
      <c r="FR25" s="42">
        <v>5</v>
      </c>
      <c r="FS25" s="42">
        <v>4</v>
      </c>
      <c r="FT25" s="42">
        <v>3</v>
      </c>
      <c r="FU25" s="42">
        <v>2</v>
      </c>
      <c r="FV25" s="42">
        <v>1</v>
      </c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9"/>
    </row>
    <row r="26" spans="4:210" ht="16.5" thickTop="1" thickBot="1" x14ac:dyDescent="0.55000000000000004">
      <c r="D26" s="101"/>
      <c r="E26" s="99"/>
      <c r="F26" s="4">
        <v>13</v>
      </c>
      <c r="G26" s="4">
        <v>3</v>
      </c>
      <c r="H26" s="4">
        <v>10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V26" s="33" t="s">
        <v>48</v>
      </c>
      <c r="BW26" s="38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7"/>
      <c r="EP26" s="33" t="s">
        <v>48</v>
      </c>
      <c r="EQ26" s="48">
        <v>25</v>
      </c>
      <c r="ER26" s="49">
        <v>26</v>
      </c>
      <c r="ES26" s="49">
        <v>27</v>
      </c>
      <c r="ET26" s="49">
        <v>28</v>
      </c>
      <c r="EU26" s="49">
        <v>29</v>
      </c>
      <c r="EV26" s="49">
        <v>30</v>
      </c>
      <c r="EW26" s="49">
        <v>31</v>
      </c>
      <c r="EX26" s="49">
        <v>32</v>
      </c>
      <c r="EY26" s="39">
        <v>37</v>
      </c>
      <c r="EZ26" s="39">
        <v>47</v>
      </c>
      <c r="FA26" s="39">
        <v>59</v>
      </c>
      <c r="FB26" s="39">
        <v>38</v>
      </c>
      <c r="FC26" s="39">
        <v>55</v>
      </c>
      <c r="FD26" s="39">
        <v>49</v>
      </c>
      <c r="FE26" s="39">
        <v>53</v>
      </c>
      <c r="FF26" s="39">
        <v>54</v>
      </c>
      <c r="FG26" s="39">
        <v>61</v>
      </c>
      <c r="FH26" s="39">
        <v>45</v>
      </c>
      <c r="FI26" s="39">
        <v>41</v>
      </c>
      <c r="FJ26" s="39">
        <v>33</v>
      </c>
      <c r="FK26" s="39">
        <v>40</v>
      </c>
      <c r="FL26" s="39">
        <v>56</v>
      </c>
      <c r="FM26" s="39">
        <v>44</v>
      </c>
      <c r="FN26" s="39">
        <v>51</v>
      </c>
      <c r="FO26" s="39">
        <v>64</v>
      </c>
      <c r="FP26" s="39">
        <v>34</v>
      </c>
      <c r="FQ26" s="39">
        <v>62</v>
      </c>
      <c r="FR26" s="39">
        <v>46</v>
      </c>
      <c r="FS26" s="39">
        <v>63</v>
      </c>
      <c r="FT26" s="39">
        <v>39</v>
      </c>
      <c r="FU26" s="39">
        <v>48</v>
      </c>
      <c r="FV26" s="39">
        <v>35</v>
      </c>
      <c r="FW26" s="39">
        <v>43</v>
      </c>
      <c r="FX26" s="39">
        <v>60</v>
      </c>
      <c r="FY26" s="39">
        <v>52</v>
      </c>
      <c r="FZ26" s="39">
        <v>58</v>
      </c>
      <c r="GA26" s="39">
        <v>36</v>
      </c>
      <c r="GB26" s="39">
        <v>42</v>
      </c>
      <c r="GC26" s="39">
        <v>57</v>
      </c>
      <c r="GD26" s="39">
        <v>50</v>
      </c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7"/>
    </row>
    <row r="27" spans="4:210" ht="16.149999999999999" thickBot="1" x14ac:dyDescent="0.55000000000000004">
      <c r="D27" s="100"/>
      <c r="E27" s="98" t="s">
        <v>12</v>
      </c>
      <c r="F27" s="4">
        <v>36</v>
      </c>
      <c r="G27" s="4">
        <v>42</v>
      </c>
      <c r="H27" s="4">
        <v>57</v>
      </c>
      <c r="I27" s="4">
        <v>23</v>
      </c>
      <c r="J27" s="4">
        <v>12</v>
      </c>
      <c r="K27" s="4">
        <v>50</v>
      </c>
      <c r="L27" s="4">
        <v>30</v>
      </c>
      <c r="M27" s="4">
        <v>22</v>
      </c>
      <c r="N27" s="4">
        <v>37</v>
      </c>
      <c r="O27" s="4">
        <v>5</v>
      </c>
      <c r="P27" s="4">
        <v>47</v>
      </c>
      <c r="Q27" s="4">
        <v>59</v>
      </c>
      <c r="R27" s="4">
        <v>38</v>
      </c>
      <c r="S27" s="4">
        <v>1</v>
      </c>
      <c r="T27" s="4">
        <v>55</v>
      </c>
      <c r="U27" s="4">
        <v>2</v>
      </c>
      <c r="V27" s="4">
        <v>17</v>
      </c>
      <c r="W27" s="4">
        <v>27</v>
      </c>
      <c r="X27" s="4">
        <v>16</v>
      </c>
      <c r="Y27" s="4">
        <v>49</v>
      </c>
      <c r="Z27" s="4">
        <v>6</v>
      </c>
      <c r="AA27" s="4">
        <v>26</v>
      </c>
      <c r="AB27" s="4">
        <v>53</v>
      </c>
      <c r="AC27" s="4">
        <v>54</v>
      </c>
      <c r="AD27" s="4">
        <v>61</v>
      </c>
      <c r="AE27" s="4">
        <v>18</v>
      </c>
      <c r="AF27" s="4">
        <v>45</v>
      </c>
      <c r="AG27" s="4">
        <v>31</v>
      </c>
      <c r="AH27" s="4">
        <v>41</v>
      </c>
      <c r="AI27" s="4">
        <v>33</v>
      </c>
      <c r="AJ27" s="4">
        <v>7</v>
      </c>
      <c r="AK27" s="4">
        <v>8</v>
      </c>
      <c r="AL27" s="4">
        <v>15</v>
      </c>
      <c r="AM27" s="4">
        <v>40</v>
      </c>
      <c r="AN27" s="4">
        <v>11</v>
      </c>
      <c r="AO27" s="4">
        <v>56</v>
      </c>
      <c r="AP27" s="4">
        <v>19</v>
      </c>
      <c r="AQ27" s="4">
        <v>14</v>
      </c>
      <c r="AR27" s="4">
        <v>44</v>
      </c>
      <c r="AS27" s="4">
        <v>51</v>
      </c>
      <c r="AT27" s="4">
        <v>20</v>
      </c>
      <c r="AU27" s="4">
        <v>32</v>
      </c>
      <c r="AV27" s="4">
        <v>64</v>
      </c>
      <c r="AW27" s="4">
        <v>34</v>
      </c>
      <c r="AX27" s="4">
        <v>29</v>
      </c>
      <c r="AY27" s="4">
        <v>4</v>
      </c>
      <c r="AZ27" s="4">
        <v>28</v>
      </c>
      <c r="BA27" s="4">
        <v>9</v>
      </c>
      <c r="BB27" s="4">
        <v>62</v>
      </c>
      <c r="BC27" s="4">
        <v>46</v>
      </c>
      <c r="BD27" s="4">
        <v>63</v>
      </c>
      <c r="BE27" s="4">
        <v>39</v>
      </c>
      <c r="BF27" s="4">
        <v>48</v>
      </c>
      <c r="BG27" s="4">
        <v>35</v>
      </c>
      <c r="BH27" s="4">
        <v>21</v>
      </c>
      <c r="BI27" s="4">
        <v>24</v>
      </c>
      <c r="BJ27" s="4">
        <v>43</v>
      </c>
      <c r="BK27" s="4">
        <v>25</v>
      </c>
      <c r="BL27" s="4">
        <v>60</v>
      </c>
      <c r="BM27" s="4">
        <v>52</v>
      </c>
      <c r="BN27" s="4">
        <v>58</v>
      </c>
      <c r="BO27" s="4">
        <v>0</v>
      </c>
      <c r="BP27" s="4">
        <v>0</v>
      </c>
      <c r="BQ27" s="4">
        <v>0</v>
      </c>
      <c r="BV27" s="34" t="s">
        <v>51</v>
      </c>
      <c r="BW27" s="41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9"/>
      <c r="EP27" s="34" t="s">
        <v>51</v>
      </c>
      <c r="EQ27" s="53">
        <v>22</v>
      </c>
      <c r="ER27" s="54">
        <v>23</v>
      </c>
      <c r="ES27" s="54">
        <v>24</v>
      </c>
      <c r="ET27" s="54">
        <v>21</v>
      </c>
      <c r="EU27" s="54">
        <v>20</v>
      </c>
      <c r="EV27" s="54">
        <v>19</v>
      </c>
      <c r="EW27" s="54">
        <v>18</v>
      </c>
      <c r="EX27" s="54">
        <v>17</v>
      </c>
      <c r="EY27" s="42">
        <v>16</v>
      </c>
      <c r="EZ27" s="42">
        <v>15</v>
      </c>
      <c r="FA27" s="42">
        <v>14</v>
      </c>
      <c r="FB27" s="42">
        <v>13</v>
      </c>
      <c r="FC27" s="42">
        <v>12</v>
      </c>
      <c r="FD27" s="42">
        <v>11</v>
      </c>
      <c r="FE27" s="42">
        <v>10</v>
      </c>
      <c r="FF27" s="42">
        <v>9</v>
      </c>
      <c r="FG27" s="42">
        <v>8</v>
      </c>
      <c r="FH27" s="42">
        <v>7</v>
      </c>
      <c r="FI27" s="42">
        <v>6</v>
      </c>
      <c r="FJ27" s="42">
        <v>5</v>
      </c>
      <c r="FK27" s="42">
        <v>4</v>
      </c>
      <c r="FL27" s="42">
        <v>3</v>
      </c>
      <c r="FM27" s="42">
        <v>2</v>
      </c>
      <c r="FN27" s="42">
        <v>1</v>
      </c>
      <c r="FO27" s="42">
        <v>0</v>
      </c>
      <c r="FP27" s="42">
        <v>0</v>
      </c>
      <c r="FQ27" s="42">
        <v>0</v>
      </c>
      <c r="FR27" s="42">
        <v>0</v>
      </c>
      <c r="FS27" s="42">
        <v>0</v>
      </c>
      <c r="FT27" s="42">
        <v>0</v>
      </c>
      <c r="FU27" s="42">
        <v>0</v>
      </c>
      <c r="FV27" s="42">
        <v>0</v>
      </c>
      <c r="FW27" s="42">
        <v>0</v>
      </c>
      <c r="FX27" s="42">
        <v>0</v>
      </c>
      <c r="FY27" s="42">
        <v>0</v>
      </c>
      <c r="FZ27" s="42">
        <v>0</v>
      </c>
      <c r="GA27" s="42">
        <v>0</v>
      </c>
      <c r="GB27" s="42">
        <v>0</v>
      </c>
      <c r="GC27" s="42">
        <v>0</v>
      </c>
      <c r="GD27" s="42">
        <v>0</v>
      </c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9"/>
    </row>
    <row r="28" spans="4:210" ht="16.5" thickTop="1" thickBot="1" x14ac:dyDescent="0.55000000000000004">
      <c r="D28" s="101"/>
      <c r="E28" s="99"/>
      <c r="F28" s="4">
        <v>13</v>
      </c>
      <c r="G28" s="4">
        <v>3</v>
      </c>
      <c r="H28" s="4">
        <v>10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V28" s="33" t="s">
        <v>48</v>
      </c>
      <c r="BW28" s="38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7"/>
      <c r="EP28" s="33" t="s">
        <v>48</v>
      </c>
      <c r="EQ28" s="50">
        <v>17</v>
      </c>
      <c r="ER28" s="51">
        <v>18</v>
      </c>
      <c r="ES28" s="51">
        <v>19</v>
      </c>
      <c r="ET28" s="51">
        <v>20</v>
      </c>
      <c r="EU28" s="51">
        <v>21</v>
      </c>
      <c r="EV28" s="51">
        <v>22</v>
      </c>
      <c r="EW28" s="51">
        <v>23</v>
      </c>
      <c r="EX28" s="51">
        <v>24</v>
      </c>
      <c r="EY28" s="49">
        <v>25</v>
      </c>
      <c r="EZ28" s="49">
        <v>26</v>
      </c>
      <c r="FA28" s="49">
        <v>27</v>
      </c>
      <c r="FB28" s="49">
        <v>28</v>
      </c>
      <c r="FC28" s="49">
        <v>29</v>
      </c>
      <c r="FD28" s="49">
        <v>30</v>
      </c>
      <c r="FE28" s="49">
        <v>31</v>
      </c>
      <c r="FF28" s="49">
        <v>32</v>
      </c>
      <c r="FG28" s="39">
        <v>37</v>
      </c>
      <c r="FH28" s="39">
        <v>47</v>
      </c>
      <c r="FI28" s="39">
        <v>59</v>
      </c>
      <c r="FJ28" s="39">
        <v>38</v>
      </c>
      <c r="FK28" s="39">
        <v>55</v>
      </c>
      <c r="FL28" s="39">
        <v>49</v>
      </c>
      <c r="FM28" s="39">
        <v>53</v>
      </c>
      <c r="FN28" s="39">
        <v>54</v>
      </c>
      <c r="FO28" s="39">
        <v>61</v>
      </c>
      <c r="FP28" s="39">
        <v>45</v>
      </c>
      <c r="FQ28" s="39">
        <v>41</v>
      </c>
      <c r="FR28" s="39">
        <v>33</v>
      </c>
      <c r="FS28" s="39">
        <v>40</v>
      </c>
      <c r="FT28" s="39">
        <v>56</v>
      </c>
      <c r="FU28" s="39">
        <v>44</v>
      </c>
      <c r="FV28" s="39">
        <v>51</v>
      </c>
      <c r="FW28" s="39">
        <v>64</v>
      </c>
      <c r="FX28" s="39">
        <v>34</v>
      </c>
      <c r="FY28" s="39">
        <v>62</v>
      </c>
      <c r="FZ28" s="39">
        <v>46</v>
      </c>
      <c r="GA28" s="39">
        <v>63</v>
      </c>
      <c r="GB28" s="39">
        <v>39</v>
      </c>
      <c r="GC28" s="39">
        <v>48</v>
      </c>
      <c r="GD28" s="39">
        <v>35</v>
      </c>
      <c r="GE28" s="39">
        <v>43</v>
      </c>
      <c r="GF28" s="39">
        <v>60</v>
      </c>
      <c r="GG28" s="39">
        <v>52</v>
      </c>
      <c r="GH28" s="39">
        <v>58</v>
      </c>
      <c r="GI28" s="39">
        <v>36</v>
      </c>
      <c r="GJ28" s="39">
        <v>42</v>
      </c>
      <c r="GK28" s="39">
        <v>57</v>
      </c>
      <c r="GL28" s="39">
        <v>50</v>
      </c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7"/>
    </row>
    <row r="29" spans="4:210" ht="16.149999999999999" thickBot="1" x14ac:dyDescent="0.55000000000000004">
      <c r="D29" s="100"/>
      <c r="E29" s="98" t="s">
        <v>12</v>
      </c>
      <c r="F29" s="4">
        <v>42</v>
      </c>
      <c r="G29" s="4">
        <v>57</v>
      </c>
      <c r="H29" s="4">
        <v>23</v>
      </c>
      <c r="I29" s="4">
        <v>12</v>
      </c>
      <c r="J29" s="4">
        <v>50</v>
      </c>
      <c r="K29" s="4">
        <v>30</v>
      </c>
      <c r="L29" s="4">
        <v>22</v>
      </c>
      <c r="M29" s="4">
        <v>37</v>
      </c>
      <c r="N29" s="4">
        <v>5</v>
      </c>
      <c r="O29" s="4">
        <v>47</v>
      </c>
      <c r="P29" s="4">
        <v>59</v>
      </c>
      <c r="Q29" s="4">
        <v>38</v>
      </c>
      <c r="R29" s="4">
        <v>1</v>
      </c>
      <c r="S29" s="4">
        <v>55</v>
      </c>
      <c r="T29" s="4">
        <v>2</v>
      </c>
      <c r="U29" s="4">
        <v>17</v>
      </c>
      <c r="V29" s="4">
        <v>27</v>
      </c>
      <c r="W29" s="4">
        <v>16</v>
      </c>
      <c r="X29" s="4">
        <v>49</v>
      </c>
      <c r="Y29" s="4">
        <v>6</v>
      </c>
      <c r="Z29" s="4">
        <v>26</v>
      </c>
      <c r="AA29" s="4">
        <v>53</v>
      </c>
      <c r="AB29" s="4">
        <v>54</v>
      </c>
      <c r="AC29" s="4">
        <v>61</v>
      </c>
      <c r="AD29" s="4">
        <v>18</v>
      </c>
      <c r="AE29" s="4">
        <v>45</v>
      </c>
      <c r="AF29" s="4">
        <v>31</v>
      </c>
      <c r="AG29" s="4">
        <v>41</v>
      </c>
      <c r="AH29" s="4">
        <v>33</v>
      </c>
      <c r="AI29" s="4">
        <v>7</v>
      </c>
      <c r="AJ29" s="4">
        <v>8</v>
      </c>
      <c r="AK29" s="4">
        <v>15</v>
      </c>
      <c r="AL29" s="4">
        <v>40</v>
      </c>
      <c r="AM29" s="4">
        <v>11</v>
      </c>
      <c r="AN29" s="4">
        <v>56</v>
      </c>
      <c r="AO29" s="4">
        <v>19</v>
      </c>
      <c r="AP29" s="4">
        <v>14</v>
      </c>
      <c r="AQ29" s="4">
        <v>44</v>
      </c>
      <c r="AR29" s="4">
        <v>51</v>
      </c>
      <c r="AS29" s="4">
        <v>20</v>
      </c>
      <c r="AT29" s="4">
        <v>32</v>
      </c>
      <c r="AU29" s="4">
        <v>64</v>
      </c>
      <c r="AV29" s="4">
        <v>34</v>
      </c>
      <c r="AW29" s="4">
        <v>29</v>
      </c>
      <c r="AX29" s="4">
        <v>4</v>
      </c>
      <c r="AY29" s="4">
        <v>28</v>
      </c>
      <c r="AZ29" s="4">
        <v>9</v>
      </c>
      <c r="BA29" s="4">
        <v>62</v>
      </c>
      <c r="BB29" s="4">
        <v>46</v>
      </c>
      <c r="BC29" s="4">
        <v>63</v>
      </c>
      <c r="BD29" s="4">
        <v>39</v>
      </c>
      <c r="BE29" s="4">
        <v>48</v>
      </c>
      <c r="BF29" s="4">
        <v>35</v>
      </c>
      <c r="BG29" s="4">
        <v>21</v>
      </c>
      <c r="BH29" s="4">
        <v>24</v>
      </c>
      <c r="BI29" s="4">
        <v>43</v>
      </c>
      <c r="BJ29" s="4">
        <v>25</v>
      </c>
      <c r="BK29" s="4">
        <v>60</v>
      </c>
      <c r="BL29" s="4">
        <v>52</v>
      </c>
      <c r="BM29" s="4">
        <v>58</v>
      </c>
      <c r="BN29" s="4">
        <v>36</v>
      </c>
      <c r="BO29" s="4">
        <v>0</v>
      </c>
      <c r="BP29" s="4">
        <v>0</v>
      </c>
      <c r="BQ29" s="4">
        <v>0</v>
      </c>
      <c r="BV29" s="34" t="s">
        <v>51</v>
      </c>
      <c r="BW29" s="41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9"/>
      <c r="EP29" s="34" t="s">
        <v>51</v>
      </c>
      <c r="EQ29" s="41">
        <v>16</v>
      </c>
      <c r="ER29" s="42">
        <v>15</v>
      </c>
      <c r="ES29" s="42">
        <v>14</v>
      </c>
      <c r="ET29" s="42">
        <v>13</v>
      </c>
      <c r="EU29" s="42">
        <v>12</v>
      </c>
      <c r="EV29" s="42">
        <v>11</v>
      </c>
      <c r="EW29" s="42">
        <v>10</v>
      </c>
      <c r="EX29" s="42">
        <v>9</v>
      </c>
      <c r="EY29" s="42">
        <v>8</v>
      </c>
      <c r="EZ29" s="42">
        <v>7</v>
      </c>
      <c r="FA29" s="42">
        <v>6</v>
      </c>
      <c r="FB29" s="42">
        <v>5</v>
      </c>
      <c r="FC29" s="42">
        <v>4</v>
      </c>
      <c r="FD29" s="42">
        <v>3</v>
      </c>
      <c r="FE29" s="42">
        <v>2</v>
      </c>
      <c r="FF29" s="42">
        <v>1</v>
      </c>
      <c r="FG29" s="42">
        <v>0</v>
      </c>
      <c r="FH29" s="42">
        <v>0</v>
      </c>
      <c r="FI29" s="42">
        <v>0</v>
      </c>
      <c r="FJ29" s="42">
        <v>0</v>
      </c>
      <c r="FK29" s="42">
        <v>0</v>
      </c>
      <c r="FL29" s="42">
        <v>0</v>
      </c>
      <c r="FM29" s="42">
        <v>0</v>
      </c>
      <c r="FN29" s="42">
        <v>0</v>
      </c>
      <c r="FO29" s="42">
        <v>0</v>
      </c>
      <c r="FP29" s="42">
        <v>0</v>
      </c>
      <c r="FQ29" s="42">
        <v>0</v>
      </c>
      <c r="FR29" s="42">
        <v>0</v>
      </c>
      <c r="FS29" s="42">
        <v>0</v>
      </c>
      <c r="FT29" s="42">
        <v>0</v>
      </c>
      <c r="FU29" s="42">
        <v>0</v>
      </c>
      <c r="FV29" s="42">
        <v>0</v>
      </c>
      <c r="FW29" s="42">
        <v>0</v>
      </c>
      <c r="FX29" s="42">
        <v>0</v>
      </c>
      <c r="FY29" s="42">
        <v>0</v>
      </c>
      <c r="FZ29" s="42">
        <v>0</v>
      </c>
      <c r="GA29" s="42">
        <v>0</v>
      </c>
      <c r="GB29" s="42">
        <v>0</v>
      </c>
      <c r="GC29" s="42">
        <v>0</v>
      </c>
      <c r="GD29" s="42">
        <v>0</v>
      </c>
      <c r="GE29" s="42">
        <v>0</v>
      </c>
      <c r="GF29" s="42">
        <v>0</v>
      </c>
      <c r="GG29" s="42">
        <v>0</v>
      </c>
      <c r="GH29" s="42">
        <v>0</v>
      </c>
      <c r="GI29" s="42">
        <v>0</v>
      </c>
      <c r="GJ29" s="42">
        <v>0</v>
      </c>
      <c r="GK29" s="42">
        <v>0</v>
      </c>
      <c r="GL29" s="42">
        <v>0</v>
      </c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9"/>
    </row>
    <row r="30" spans="4:210" ht="16.5" thickTop="1" thickBot="1" x14ac:dyDescent="0.55000000000000004">
      <c r="D30" s="101"/>
      <c r="E30" s="99"/>
      <c r="F30" s="4">
        <v>13</v>
      </c>
      <c r="G30" s="4">
        <v>3</v>
      </c>
      <c r="H30" s="4">
        <v>10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V30" s="33" t="s">
        <v>48</v>
      </c>
      <c r="BW30" s="38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7"/>
      <c r="EP30" s="33" t="s">
        <v>48</v>
      </c>
      <c r="EQ30" s="52">
        <v>37</v>
      </c>
      <c r="ER30" s="40">
        <v>47</v>
      </c>
      <c r="ES30" s="39">
        <v>59</v>
      </c>
      <c r="ET30" s="40">
        <v>38</v>
      </c>
      <c r="EU30" s="39">
        <v>55</v>
      </c>
      <c r="EV30" s="39">
        <v>49</v>
      </c>
      <c r="EW30" s="39">
        <v>53</v>
      </c>
      <c r="EX30" s="39">
        <v>54</v>
      </c>
      <c r="EY30" s="39">
        <v>61</v>
      </c>
      <c r="EZ30" s="40">
        <v>45</v>
      </c>
      <c r="FA30" s="40">
        <v>41</v>
      </c>
      <c r="FB30" s="40">
        <v>33</v>
      </c>
      <c r="FC30" s="40">
        <v>40</v>
      </c>
      <c r="FD30" s="39">
        <v>56</v>
      </c>
      <c r="FE30" s="40">
        <v>44</v>
      </c>
      <c r="FF30" s="39">
        <v>51</v>
      </c>
      <c r="FG30" s="39">
        <v>64</v>
      </c>
      <c r="FH30" s="40">
        <v>34</v>
      </c>
      <c r="FI30" s="39">
        <v>62</v>
      </c>
      <c r="FJ30" s="40">
        <v>46</v>
      </c>
      <c r="FK30" s="39">
        <v>63</v>
      </c>
      <c r="FL30" s="40">
        <v>39</v>
      </c>
      <c r="FM30" s="40">
        <v>48</v>
      </c>
      <c r="FN30" s="40">
        <v>35</v>
      </c>
      <c r="FO30" s="40">
        <v>43</v>
      </c>
      <c r="FP30" s="39">
        <v>60</v>
      </c>
      <c r="FQ30" s="39">
        <v>52</v>
      </c>
      <c r="FR30" s="39">
        <v>58</v>
      </c>
      <c r="FS30" s="40">
        <v>36</v>
      </c>
      <c r="FT30" s="40">
        <v>42</v>
      </c>
      <c r="FU30" s="39">
        <v>57</v>
      </c>
      <c r="FV30" s="39">
        <v>50</v>
      </c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7"/>
    </row>
    <row r="31" spans="4:210" ht="16.149999999999999" thickBot="1" x14ac:dyDescent="0.55000000000000004">
      <c r="D31" s="100"/>
      <c r="E31" s="98" t="s">
        <v>12</v>
      </c>
      <c r="F31" s="4">
        <v>57</v>
      </c>
      <c r="G31" s="4">
        <v>23</v>
      </c>
      <c r="H31" s="4">
        <v>12</v>
      </c>
      <c r="I31" s="4">
        <v>50</v>
      </c>
      <c r="J31" s="4">
        <v>30</v>
      </c>
      <c r="K31" s="4">
        <v>22</v>
      </c>
      <c r="L31" s="4">
        <v>37</v>
      </c>
      <c r="M31" s="4">
        <v>5</v>
      </c>
      <c r="N31" s="4">
        <v>47</v>
      </c>
      <c r="O31" s="4">
        <v>59</v>
      </c>
      <c r="P31" s="4">
        <v>38</v>
      </c>
      <c r="Q31" s="4">
        <v>1</v>
      </c>
      <c r="R31" s="4">
        <v>55</v>
      </c>
      <c r="S31" s="4">
        <v>2</v>
      </c>
      <c r="T31" s="4">
        <v>17</v>
      </c>
      <c r="U31" s="4">
        <v>27</v>
      </c>
      <c r="V31" s="4">
        <v>16</v>
      </c>
      <c r="W31" s="4">
        <v>49</v>
      </c>
      <c r="X31" s="4">
        <v>6</v>
      </c>
      <c r="Y31" s="4">
        <v>26</v>
      </c>
      <c r="Z31" s="4">
        <v>53</v>
      </c>
      <c r="AA31" s="4">
        <v>54</v>
      </c>
      <c r="AB31" s="4">
        <v>61</v>
      </c>
      <c r="AC31" s="4">
        <v>18</v>
      </c>
      <c r="AD31" s="4">
        <v>45</v>
      </c>
      <c r="AE31" s="4">
        <v>31</v>
      </c>
      <c r="AF31" s="4">
        <v>41</v>
      </c>
      <c r="AG31" s="4">
        <v>33</v>
      </c>
      <c r="AH31" s="4">
        <v>7</v>
      </c>
      <c r="AI31" s="4">
        <v>8</v>
      </c>
      <c r="AJ31" s="4">
        <v>15</v>
      </c>
      <c r="AK31" s="4">
        <v>40</v>
      </c>
      <c r="AL31" s="4">
        <v>11</v>
      </c>
      <c r="AM31" s="4">
        <v>56</v>
      </c>
      <c r="AN31" s="4">
        <v>19</v>
      </c>
      <c r="AO31" s="4">
        <v>14</v>
      </c>
      <c r="AP31" s="4">
        <v>44</v>
      </c>
      <c r="AQ31" s="4">
        <v>51</v>
      </c>
      <c r="AR31" s="4">
        <v>20</v>
      </c>
      <c r="AS31" s="4">
        <v>32</v>
      </c>
      <c r="AT31" s="4">
        <v>64</v>
      </c>
      <c r="AU31" s="4">
        <v>34</v>
      </c>
      <c r="AV31" s="4">
        <v>29</v>
      </c>
      <c r="AW31" s="4">
        <v>4</v>
      </c>
      <c r="AX31" s="4">
        <v>28</v>
      </c>
      <c r="AY31" s="4">
        <v>9</v>
      </c>
      <c r="AZ31" s="4">
        <v>62</v>
      </c>
      <c r="BA31" s="4">
        <v>46</v>
      </c>
      <c r="BB31" s="4">
        <v>63</v>
      </c>
      <c r="BC31" s="4">
        <v>39</v>
      </c>
      <c r="BD31" s="4">
        <v>48</v>
      </c>
      <c r="BE31" s="4">
        <v>35</v>
      </c>
      <c r="BF31" s="4">
        <v>21</v>
      </c>
      <c r="BG31" s="4">
        <v>24</v>
      </c>
      <c r="BH31" s="4">
        <v>43</v>
      </c>
      <c r="BI31" s="4">
        <v>25</v>
      </c>
      <c r="BJ31" s="4">
        <v>60</v>
      </c>
      <c r="BK31" s="4">
        <v>52</v>
      </c>
      <c r="BL31" s="4">
        <v>58</v>
      </c>
      <c r="BM31" s="4">
        <v>36</v>
      </c>
      <c r="BN31" s="4">
        <v>42</v>
      </c>
      <c r="BO31" s="4">
        <v>0</v>
      </c>
      <c r="BP31" s="4">
        <v>0</v>
      </c>
      <c r="BQ31" s="4">
        <v>0</v>
      </c>
      <c r="BV31" s="34" t="s">
        <v>51</v>
      </c>
      <c r="BW31" s="41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9"/>
      <c r="EP31" s="34" t="s">
        <v>51</v>
      </c>
      <c r="EQ31" s="58">
        <v>32</v>
      </c>
      <c r="ER31" s="55">
        <v>31</v>
      </c>
      <c r="ES31" s="55">
        <v>30</v>
      </c>
      <c r="ET31" s="55">
        <v>29</v>
      </c>
      <c r="EU31" s="55">
        <v>28</v>
      </c>
      <c r="EV31" s="55">
        <v>27</v>
      </c>
      <c r="EW31" s="55">
        <v>26</v>
      </c>
      <c r="EX31" s="55">
        <v>25</v>
      </c>
      <c r="EY31" s="55">
        <v>24</v>
      </c>
      <c r="EZ31" s="55">
        <v>23</v>
      </c>
      <c r="FA31" s="55">
        <v>22</v>
      </c>
      <c r="FB31" s="55">
        <v>21</v>
      </c>
      <c r="FC31" s="55">
        <v>20</v>
      </c>
      <c r="FD31" s="55">
        <v>19</v>
      </c>
      <c r="FE31" s="55">
        <v>18</v>
      </c>
      <c r="FF31" s="55">
        <v>17</v>
      </c>
      <c r="FG31" s="55">
        <v>16</v>
      </c>
      <c r="FH31" s="55">
        <v>15</v>
      </c>
      <c r="FI31" s="55">
        <v>14</v>
      </c>
      <c r="FJ31" s="55">
        <v>13</v>
      </c>
      <c r="FK31" s="55">
        <v>12</v>
      </c>
      <c r="FL31" s="55">
        <v>11</v>
      </c>
      <c r="FM31" s="55">
        <v>10</v>
      </c>
      <c r="FN31" s="55">
        <v>9</v>
      </c>
      <c r="FO31" s="55">
        <v>8</v>
      </c>
      <c r="FP31" s="55">
        <v>7</v>
      </c>
      <c r="FQ31" s="55">
        <v>6</v>
      </c>
      <c r="FR31" s="55">
        <v>5</v>
      </c>
      <c r="FS31" s="55">
        <v>4</v>
      </c>
      <c r="FT31" s="55">
        <v>3</v>
      </c>
      <c r="FU31" s="55">
        <v>2</v>
      </c>
      <c r="FV31" s="55">
        <v>1</v>
      </c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9"/>
    </row>
    <row r="32" spans="4:210" ht="16.5" thickTop="1" thickBot="1" x14ac:dyDescent="0.55000000000000004">
      <c r="D32" s="101"/>
      <c r="E32" s="99"/>
      <c r="F32" s="4">
        <v>13</v>
      </c>
      <c r="G32" s="4">
        <v>3</v>
      </c>
      <c r="H32" s="4">
        <v>10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V32" s="33" t="s">
        <v>48</v>
      </c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7"/>
      <c r="EP32" s="33" t="s">
        <v>48</v>
      </c>
      <c r="EQ32" s="35">
        <v>57</v>
      </c>
      <c r="ER32" s="35">
        <v>50</v>
      </c>
      <c r="ES32" s="35">
        <v>59</v>
      </c>
      <c r="ET32" s="35">
        <v>55</v>
      </c>
      <c r="EU32" s="35">
        <v>49</v>
      </c>
      <c r="EV32" s="35">
        <v>53</v>
      </c>
      <c r="EW32" s="35">
        <v>54</v>
      </c>
      <c r="EX32" s="35">
        <v>61</v>
      </c>
      <c r="EY32" s="35">
        <v>56</v>
      </c>
      <c r="EZ32" s="35">
        <v>51</v>
      </c>
      <c r="FA32" s="35">
        <v>64</v>
      </c>
      <c r="FB32" s="35">
        <v>62</v>
      </c>
      <c r="FC32" s="35">
        <v>63</v>
      </c>
      <c r="FD32" s="35">
        <v>60</v>
      </c>
      <c r="FE32" s="35">
        <v>52</v>
      </c>
      <c r="FF32" s="35">
        <v>58</v>
      </c>
      <c r="FG32" s="35">
        <v>0</v>
      </c>
      <c r="FH32" s="35">
        <v>0</v>
      </c>
      <c r="FI32" s="35">
        <v>0</v>
      </c>
      <c r="FJ32" s="35">
        <v>0</v>
      </c>
      <c r="FK32" s="35">
        <v>0</v>
      </c>
      <c r="FL32" s="35">
        <v>0</v>
      </c>
      <c r="FM32" s="35">
        <v>0</v>
      </c>
      <c r="FN32" s="35">
        <v>0</v>
      </c>
      <c r="FO32" s="35">
        <v>0</v>
      </c>
      <c r="FP32" s="35">
        <v>0</v>
      </c>
      <c r="FQ32" s="35">
        <v>0</v>
      </c>
      <c r="FR32" s="35">
        <v>0</v>
      </c>
      <c r="FS32" s="35">
        <v>0</v>
      </c>
      <c r="FT32" s="35">
        <v>0</v>
      </c>
      <c r="FU32" s="35">
        <v>0</v>
      </c>
      <c r="FV32" s="35">
        <v>0</v>
      </c>
      <c r="FW32" s="35">
        <v>0</v>
      </c>
      <c r="FX32" s="35">
        <v>0</v>
      </c>
      <c r="FY32" s="35">
        <v>0</v>
      </c>
      <c r="FZ32" s="35">
        <v>0</v>
      </c>
      <c r="GA32" s="35">
        <v>0</v>
      </c>
      <c r="GB32" s="35">
        <v>0</v>
      </c>
      <c r="GC32" s="35">
        <v>0</v>
      </c>
      <c r="GD32" s="35">
        <v>0</v>
      </c>
      <c r="GE32" s="35">
        <v>0</v>
      </c>
      <c r="GF32" s="35">
        <v>0</v>
      </c>
      <c r="GG32" s="35">
        <v>0</v>
      </c>
      <c r="GH32" s="35">
        <v>0</v>
      </c>
      <c r="GI32" s="35">
        <v>0</v>
      </c>
      <c r="GJ32" s="35">
        <v>0</v>
      </c>
      <c r="GK32" s="35">
        <v>0</v>
      </c>
      <c r="GL32" s="35">
        <v>0</v>
      </c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7"/>
    </row>
    <row r="33" spans="4:210" ht="16.149999999999999" thickBot="1" x14ac:dyDescent="0.55000000000000004">
      <c r="D33" s="100"/>
      <c r="E33" s="98" t="s">
        <v>12</v>
      </c>
      <c r="F33" s="4">
        <v>23</v>
      </c>
      <c r="G33" s="4">
        <v>12</v>
      </c>
      <c r="H33" s="4">
        <v>50</v>
      </c>
      <c r="I33" s="4">
        <v>30</v>
      </c>
      <c r="J33" s="4">
        <v>22</v>
      </c>
      <c r="K33" s="4">
        <v>37</v>
      </c>
      <c r="L33" s="4">
        <v>5</v>
      </c>
      <c r="M33" s="4">
        <v>47</v>
      </c>
      <c r="N33" s="4">
        <v>59</v>
      </c>
      <c r="O33" s="4">
        <v>38</v>
      </c>
      <c r="P33" s="4">
        <v>1</v>
      </c>
      <c r="Q33" s="4">
        <v>55</v>
      </c>
      <c r="R33" s="4">
        <v>2</v>
      </c>
      <c r="S33" s="4">
        <v>17</v>
      </c>
      <c r="T33" s="4">
        <v>27</v>
      </c>
      <c r="U33" s="4">
        <v>16</v>
      </c>
      <c r="V33" s="4">
        <v>49</v>
      </c>
      <c r="W33" s="4">
        <v>6</v>
      </c>
      <c r="X33" s="4">
        <v>26</v>
      </c>
      <c r="Y33" s="4">
        <v>53</v>
      </c>
      <c r="Z33" s="4">
        <v>54</v>
      </c>
      <c r="AA33" s="4">
        <v>61</v>
      </c>
      <c r="AB33" s="4">
        <v>18</v>
      </c>
      <c r="AC33" s="4">
        <v>45</v>
      </c>
      <c r="AD33" s="4">
        <v>31</v>
      </c>
      <c r="AE33" s="4">
        <v>41</v>
      </c>
      <c r="AF33" s="4">
        <v>33</v>
      </c>
      <c r="AG33" s="4">
        <v>7</v>
      </c>
      <c r="AH33" s="4">
        <v>8</v>
      </c>
      <c r="AI33" s="4">
        <v>15</v>
      </c>
      <c r="AJ33" s="4">
        <v>40</v>
      </c>
      <c r="AK33" s="4">
        <v>11</v>
      </c>
      <c r="AL33" s="4">
        <v>56</v>
      </c>
      <c r="AM33" s="4">
        <v>19</v>
      </c>
      <c r="AN33" s="4">
        <v>14</v>
      </c>
      <c r="AO33" s="4">
        <v>44</v>
      </c>
      <c r="AP33" s="4">
        <v>51</v>
      </c>
      <c r="AQ33" s="4">
        <v>20</v>
      </c>
      <c r="AR33" s="4">
        <v>32</v>
      </c>
      <c r="AS33" s="4">
        <v>64</v>
      </c>
      <c r="AT33" s="4">
        <v>34</v>
      </c>
      <c r="AU33" s="4">
        <v>29</v>
      </c>
      <c r="AV33" s="4">
        <v>4</v>
      </c>
      <c r="AW33" s="4">
        <v>28</v>
      </c>
      <c r="AX33" s="4">
        <v>9</v>
      </c>
      <c r="AY33" s="4">
        <v>62</v>
      </c>
      <c r="AZ33" s="4">
        <v>46</v>
      </c>
      <c r="BA33" s="4">
        <v>63</v>
      </c>
      <c r="BB33" s="4">
        <v>39</v>
      </c>
      <c r="BC33" s="4">
        <v>48</v>
      </c>
      <c r="BD33" s="4">
        <v>35</v>
      </c>
      <c r="BE33" s="4">
        <v>21</v>
      </c>
      <c r="BF33" s="4">
        <v>24</v>
      </c>
      <c r="BG33" s="4">
        <v>43</v>
      </c>
      <c r="BH33" s="4">
        <v>25</v>
      </c>
      <c r="BI33" s="4">
        <v>60</v>
      </c>
      <c r="BJ33" s="4">
        <v>52</v>
      </c>
      <c r="BK33" s="4">
        <v>58</v>
      </c>
      <c r="BL33" s="4">
        <v>36</v>
      </c>
      <c r="BM33" s="4">
        <v>42</v>
      </c>
      <c r="BN33" s="4">
        <v>57</v>
      </c>
      <c r="BO33" s="4">
        <v>0</v>
      </c>
      <c r="BP33" s="4">
        <v>0</v>
      </c>
      <c r="BQ33" s="4">
        <v>0</v>
      </c>
      <c r="BV33" s="34" t="s">
        <v>51</v>
      </c>
      <c r="BW33" s="84"/>
      <c r="BX33" s="35"/>
      <c r="BY33" s="84"/>
      <c r="BZ33" s="35"/>
      <c r="CA33" s="84"/>
      <c r="CB33" s="35"/>
      <c r="CC33" s="84"/>
      <c r="CD33" s="35"/>
      <c r="CE33" s="84"/>
      <c r="CF33" s="35"/>
      <c r="CG33" s="35"/>
      <c r="CH33" s="84"/>
      <c r="CI33" s="84"/>
      <c r="CJ33" s="35"/>
      <c r="CK33" s="84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9"/>
      <c r="EP33" s="34" t="s">
        <v>51</v>
      </c>
      <c r="EQ33" s="61">
        <v>42</v>
      </c>
      <c r="ER33" s="59">
        <v>36</v>
      </c>
      <c r="ES33" s="61">
        <v>43</v>
      </c>
      <c r="ET33" s="59">
        <v>35</v>
      </c>
      <c r="EU33" s="61">
        <v>48</v>
      </c>
      <c r="EV33" s="59">
        <v>39</v>
      </c>
      <c r="EW33" s="61">
        <v>46</v>
      </c>
      <c r="EX33" s="59">
        <v>34</v>
      </c>
      <c r="EY33" s="61">
        <v>44</v>
      </c>
      <c r="EZ33" s="59">
        <v>40</v>
      </c>
      <c r="FA33" s="59">
        <v>33</v>
      </c>
      <c r="FB33" s="61">
        <v>41</v>
      </c>
      <c r="FC33" s="61">
        <v>45</v>
      </c>
      <c r="FD33" s="59">
        <v>38</v>
      </c>
      <c r="FE33" s="61">
        <v>47</v>
      </c>
      <c r="FF33" s="59">
        <v>37</v>
      </c>
      <c r="FG33" s="35">
        <v>32</v>
      </c>
      <c r="FH33" s="35">
        <v>31</v>
      </c>
      <c r="FI33" s="35">
        <v>30</v>
      </c>
      <c r="FJ33" s="35">
        <v>29</v>
      </c>
      <c r="FK33" s="35">
        <v>28</v>
      </c>
      <c r="FL33" s="35">
        <v>27</v>
      </c>
      <c r="FM33" s="35">
        <v>26</v>
      </c>
      <c r="FN33" s="35">
        <v>25</v>
      </c>
      <c r="FO33" s="35">
        <v>24</v>
      </c>
      <c r="FP33" s="35">
        <v>23</v>
      </c>
      <c r="FQ33" s="35">
        <v>22</v>
      </c>
      <c r="FR33" s="35">
        <v>21</v>
      </c>
      <c r="FS33" s="35">
        <v>20</v>
      </c>
      <c r="FT33" s="35">
        <v>19</v>
      </c>
      <c r="FU33" s="35">
        <v>18</v>
      </c>
      <c r="FV33" s="35">
        <v>17</v>
      </c>
      <c r="FW33" s="35">
        <v>16</v>
      </c>
      <c r="FX33" s="35">
        <v>15</v>
      </c>
      <c r="FY33" s="35">
        <v>14</v>
      </c>
      <c r="FZ33" s="35">
        <v>13</v>
      </c>
      <c r="GA33" s="35">
        <v>12</v>
      </c>
      <c r="GB33" s="35">
        <v>11</v>
      </c>
      <c r="GC33" s="35">
        <v>10</v>
      </c>
      <c r="GD33" s="35">
        <v>9</v>
      </c>
      <c r="GE33" s="35">
        <v>8</v>
      </c>
      <c r="GF33" s="35">
        <v>7</v>
      </c>
      <c r="GG33" s="35">
        <v>6</v>
      </c>
      <c r="GH33" s="35">
        <v>5</v>
      </c>
      <c r="GI33" s="35">
        <v>4</v>
      </c>
      <c r="GJ33" s="35">
        <v>3</v>
      </c>
      <c r="GK33" s="35">
        <v>2</v>
      </c>
      <c r="GL33" s="35">
        <v>1</v>
      </c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9"/>
    </row>
    <row r="34" spans="4:210" ht="16.5" thickTop="1" thickBot="1" x14ac:dyDescent="0.55000000000000004">
      <c r="D34" s="101"/>
      <c r="E34" s="99"/>
      <c r="F34" s="4">
        <v>13</v>
      </c>
      <c r="G34" s="4">
        <v>3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V34" s="33" t="s">
        <v>48</v>
      </c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7"/>
      <c r="EP34" s="33" t="s">
        <v>48</v>
      </c>
      <c r="EQ34" s="60">
        <v>47</v>
      </c>
      <c r="ER34" s="60">
        <v>45</v>
      </c>
      <c r="ES34" s="60">
        <v>41</v>
      </c>
      <c r="ET34" s="60">
        <v>44</v>
      </c>
      <c r="EU34" s="60">
        <v>46</v>
      </c>
      <c r="EV34" s="60">
        <v>48</v>
      </c>
      <c r="EW34" s="60">
        <v>43</v>
      </c>
      <c r="EX34" s="60">
        <v>42</v>
      </c>
      <c r="EY34" s="35">
        <v>57</v>
      </c>
      <c r="EZ34" s="35">
        <v>50</v>
      </c>
      <c r="FA34" s="35">
        <v>59</v>
      </c>
      <c r="FB34" s="35">
        <v>55</v>
      </c>
      <c r="FC34" s="35">
        <v>49</v>
      </c>
      <c r="FD34" s="35">
        <v>53</v>
      </c>
      <c r="FE34" s="35">
        <v>54</v>
      </c>
      <c r="FF34" s="35">
        <v>61</v>
      </c>
      <c r="FG34" s="35">
        <v>56</v>
      </c>
      <c r="FH34" s="35">
        <v>51</v>
      </c>
      <c r="FI34" s="35">
        <v>64</v>
      </c>
      <c r="FJ34" s="35">
        <v>62</v>
      </c>
      <c r="FK34" s="35">
        <v>63</v>
      </c>
      <c r="FL34" s="35">
        <v>60</v>
      </c>
      <c r="FM34" s="35">
        <v>52</v>
      </c>
      <c r="FN34" s="35">
        <v>58</v>
      </c>
      <c r="FO34" s="35">
        <v>0</v>
      </c>
      <c r="FP34" s="35">
        <v>0</v>
      </c>
      <c r="FQ34" s="35">
        <v>0</v>
      </c>
      <c r="FR34" s="35">
        <v>0</v>
      </c>
      <c r="FS34" s="35">
        <v>0</v>
      </c>
      <c r="FT34" s="35">
        <v>0</v>
      </c>
      <c r="FU34" s="35">
        <v>0</v>
      </c>
      <c r="FV34" s="35">
        <v>0</v>
      </c>
      <c r="FW34" s="35">
        <v>0</v>
      </c>
      <c r="FX34" s="35">
        <v>0</v>
      </c>
      <c r="FY34" s="35">
        <v>0</v>
      </c>
      <c r="FZ34" s="35">
        <v>0</v>
      </c>
      <c r="GA34" s="35">
        <v>0</v>
      </c>
      <c r="GB34" s="35">
        <v>0</v>
      </c>
      <c r="GC34" s="35">
        <v>0</v>
      </c>
      <c r="GD34" s="35">
        <v>0</v>
      </c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7"/>
    </row>
    <row r="35" spans="4:210" ht="16.149999999999999" thickBot="1" x14ac:dyDescent="0.55000000000000004">
      <c r="D35" s="100"/>
      <c r="E35" s="98" t="s">
        <v>12</v>
      </c>
      <c r="F35" s="4">
        <v>12</v>
      </c>
      <c r="G35" s="4">
        <v>50</v>
      </c>
      <c r="H35" s="4">
        <v>30</v>
      </c>
      <c r="I35" s="4">
        <v>22</v>
      </c>
      <c r="J35" s="4">
        <v>37</v>
      </c>
      <c r="K35" s="4">
        <v>5</v>
      </c>
      <c r="L35" s="4">
        <v>47</v>
      </c>
      <c r="M35" s="4">
        <v>59</v>
      </c>
      <c r="N35" s="4">
        <v>38</v>
      </c>
      <c r="O35" s="4">
        <v>1</v>
      </c>
      <c r="P35" s="4">
        <v>55</v>
      </c>
      <c r="Q35" s="4">
        <v>2</v>
      </c>
      <c r="R35" s="4">
        <v>17</v>
      </c>
      <c r="S35" s="4">
        <v>27</v>
      </c>
      <c r="T35" s="4">
        <v>16</v>
      </c>
      <c r="U35" s="4">
        <v>49</v>
      </c>
      <c r="V35" s="4">
        <v>6</v>
      </c>
      <c r="W35" s="4">
        <v>26</v>
      </c>
      <c r="X35" s="4">
        <v>53</v>
      </c>
      <c r="Y35" s="4">
        <v>54</v>
      </c>
      <c r="Z35" s="4">
        <v>61</v>
      </c>
      <c r="AA35" s="4">
        <v>18</v>
      </c>
      <c r="AB35" s="4">
        <v>45</v>
      </c>
      <c r="AC35" s="4">
        <v>31</v>
      </c>
      <c r="AD35" s="4">
        <v>41</v>
      </c>
      <c r="AE35" s="4">
        <v>33</v>
      </c>
      <c r="AF35" s="4">
        <v>7</v>
      </c>
      <c r="AG35" s="4">
        <v>8</v>
      </c>
      <c r="AH35" s="4">
        <v>15</v>
      </c>
      <c r="AI35" s="4">
        <v>40</v>
      </c>
      <c r="AJ35" s="4">
        <v>11</v>
      </c>
      <c r="AK35" s="4">
        <v>56</v>
      </c>
      <c r="AL35" s="4">
        <v>19</v>
      </c>
      <c r="AM35" s="4">
        <v>14</v>
      </c>
      <c r="AN35" s="4">
        <v>44</v>
      </c>
      <c r="AO35" s="4">
        <v>51</v>
      </c>
      <c r="AP35" s="4">
        <v>20</v>
      </c>
      <c r="AQ35" s="4">
        <v>32</v>
      </c>
      <c r="AR35" s="4">
        <v>64</v>
      </c>
      <c r="AS35" s="4">
        <v>34</v>
      </c>
      <c r="AT35" s="4">
        <v>29</v>
      </c>
      <c r="AU35" s="4">
        <v>4</v>
      </c>
      <c r="AV35" s="4">
        <v>28</v>
      </c>
      <c r="AW35" s="4">
        <v>9</v>
      </c>
      <c r="AX35" s="4">
        <v>62</v>
      </c>
      <c r="AY35" s="4">
        <v>46</v>
      </c>
      <c r="AZ35" s="4">
        <v>63</v>
      </c>
      <c r="BA35" s="4">
        <v>39</v>
      </c>
      <c r="BB35" s="4">
        <v>48</v>
      </c>
      <c r="BC35" s="4">
        <v>35</v>
      </c>
      <c r="BD35" s="4">
        <v>21</v>
      </c>
      <c r="BE35" s="4">
        <v>24</v>
      </c>
      <c r="BF35" s="4">
        <v>43</v>
      </c>
      <c r="BG35" s="4">
        <v>25</v>
      </c>
      <c r="BH35" s="4">
        <v>60</v>
      </c>
      <c r="BI35" s="4">
        <v>52</v>
      </c>
      <c r="BJ35" s="4">
        <v>58</v>
      </c>
      <c r="BK35" s="4">
        <v>36</v>
      </c>
      <c r="BL35" s="4">
        <v>42</v>
      </c>
      <c r="BM35" s="4">
        <v>57</v>
      </c>
      <c r="BN35" s="4">
        <v>23</v>
      </c>
      <c r="BO35" s="4">
        <v>0</v>
      </c>
      <c r="BP35" s="4">
        <v>0</v>
      </c>
      <c r="BQ35" s="4">
        <v>0</v>
      </c>
      <c r="BV35" s="34" t="s">
        <v>51</v>
      </c>
      <c r="BW35" s="62"/>
      <c r="BX35" s="62"/>
      <c r="BY35" s="62"/>
      <c r="BZ35" s="62"/>
      <c r="CA35" s="62"/>
      <c r="CB35" s="62"/>
      <c r="CC35" s="62"/>
      <c r="CD35" s="62"/>
      <c r="CE35" s="62"/>
      <c r="CF35" s="62"/>
      <c r="CG35" s="62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EH35" s="64"/>
      <c r="EP35" s="34" t="s">
        <v>51</v>
      </c>
      <c r="EQ35" s="62">
        <v>37</v>
      </c>
      <c r="ER35" s="63">
        <v>32</v>
      </c>
      <c r="ES35" s="63">
        <v>31</v>
      </c>
      <c r="ET35" s="63">
        <v>30</v>
      </c>
      <c r="EU35" s="63">
        <v>29</v>
      </c>
      <c r="EV35" s="63">
        <v>28</v>
      </c>
      <c r="EW35" s="63">
        <v>27</v>
      </c>
      <c r="EX35" s="63">
        <v>26</v>
      </c>
      <c r="EY35" s="63">
        <v>25</v>
      </c>
      <c r="EZ35" s="63">
        <v>24</v>
      </c>
      <c r="FA35" s="63">
        <v>23</v>
      </c>
      <c r="FB35" s="63">
        <v>22</v>
      </c>
      <c r="FC35" s="63">
        <v>21</v>
      </c>
      <c r="FD35" s="63">
        <v>20</v>
      </c>
      <c r="FE35" s="63">
        <v>19</v>
      </c>
      <c r="FF35" s="63">
        <v>18</v>
      </c>
      <c r="FG35" s="63">
        <v>17</v>
      </c>
      <c r="FH35" s="63">
        <v>16</v>
      </c>
      <c r="FI35" s="63">
        <v>15</v>
      </c>
      <c r="FJ35" s="63">
        <v>14</v>
      </c>
      <c r="FK35" s="63">
        <v>13</v>
      </c>
      <c r="FL35" s="63">
        <v>12</v>
      </c>
      <c r="FM35" s="63">
        <v>11</v>
      </c>
      <c r="FN35" s="63">
        <v>10</v>
      </c>
      <c r="FO35" s="63">
        <v>9</v>
      </c>
      <c r="FP35" s="63">
        <v>8</v>
      </c>
      <c r="FQ35" s="63">
        <v>7</v>
      </c>
      <c r="FR35" s="63">
        <v>6</v>
      </c>
      <c r="FS35" s="63">
        <v>5</v>
      </c>
      <c r="FT35" s="63">
        <v>4</v>
      </c>
      <c r="FU35" s="63">
        <v>3</v>
      </c>
      <c r="FV35" s="63">
        <v>2</v>
      </c>
      <c r="FW35" s="63">
        <v>1</v>
      </c>
      <c r="FX35" s="62">
        <v>36</v>
      </c>
      <c r="FY35" s="62">
        <v>35</v>
      </c>
      <c r="FZ35" s="62">
        <v>39</v>
      </c>
      <c r="GA35" s="62">
        <v>34</v>
      </c>
      <c r="GB35" s="62">
        <v>40</v>
      </c>
      <c r="GC35" s="62">
        <v>33</v>
      </c>
      <c r="GD35" s="62">
        <v>38</v>
      </c>
      <c r="HB35" s="64"/>
    </row>
    <row r="36" spans="4:210" ht="16.5" thickTop="1" thickBot="1" x14ac:dyDescent="0.55000000000000004">
      <c r="D36" s="101"/>
      <c r="E36" s="99"/>
      <c r="F36" s="4">
        <v>13</v>
      </c>
      <c r="G36" s="4">
        <v>3</v>
      </c>
      <c r="H36" s="4">
        <v>10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V36" s="33" t="s">
        <v>48</v>
      </c>
      <c r="BW36" s="70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7"/>
      <c r="EP36" s="33" t="s">
        <v>48</v>
      </c>
      <c r="EQ36" s="65">
        <v>47</v>
      </c>
      <c r="ER36" s="66">
        <v>45</v>
      </c>
      <c r="ES36" s="66">
        <v>41</v>
      </c>
      <c r="ET36" s="66">
        <v>44</v>
      </c>
      <c r="EU36" s="66">
        <v>46</v>
      </c>
      <c r="EV36" s="66">
        <v>48</v>
      </c>
      <c r="EW36" s="66">
        <v>43</v>
      </c>
      <c r="EX36" s="66">
        <v>42</v>
      </c>
      <c r="EY36" s="36">
        <v>57</v>
      </c>
      <c r="EZ36" s="36">
        <v>50</v>
      </c>
      <c r="FA36" s="36">
        <v>59</v>
      </c>
      <c r="FB36" s="36">
        <v>55</v>
      </c>
      <c r="FC36" s="36">
        <v>49</v>
      </c>
      <c r="FD36" s="36">
        <v>53</v>
      </c>
      <c r="FE36" s="36">
        <v>54</v>
      </c>
      <c r="FF36" s="36">
        <v>61</v>
      </c>
      <c r="FG36" s="36">
        <v>56</v>
      </c>
      <c r="FH36" s="36">
        <v>51</v>
      </c>
      <c r="FI36" s="36">
        <v>64</v>
      </c>
      <c r="FJ36" s="36">
        <v>62</v>
      </c>
      <c r="FK36" s="36">
        <v>63</v>
      </c>
      <c r="FL36" s="36">
        <v>60</v>
      </c>
      <c r="FM36" s="36">
        <v>52</v>
      </c>
      <c r="FN36" s="36">
        <v>58</v>
      </c>
      <c r="FO36" s="36">
        <v>0</v>
      </c>
      <c r="FP36" s="36">
        <v>0</v>
      </c>
      <c r="FQ36" s="36">
        <v>0</v>
      </c>
      <c r="FR36" s="36">
        <v>0</v>
      </c>
      <c r="FS36" s="36">
        <v>0</v>
      </c>
      <c r="FT36" s="36">
        <v>0</v>
      </c>
      <c r="FU36" s="36">
        <v>0</v>
      </c>
      <c r="FV36" s="36">
        <v>0</v>
      </c>
      <c r="FW36" s="36">
        <v>0</v>
      </c>
      <c r="FX36" s="36">
        <v>0</v>
      </c>
      <c r="FY36" s="36">
        <v>0</v>
      </c>
      <c r="FZ36" s="36">
        <v>0</v>
      </c>
      <c r="GA36" s="36">
        <v>0</v>
      </c>
      <c r="GB36" s="36">
        <v>0</v>
      </c>
      <c r="GC36" s="36">
        <v>0</v>
      </c>
      <c r="GD36" s="36">
        <v>0</v>
      </c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7"/>
    </row>
    <row r="37" spans="4:210" ht="16.149999999999999" thickBot="1" x14ac:dyDescent="0.55000000000000004">
      <c r="D37" s="100"/>
      <c r="E37" s="98" t="s">
        <v>13</v>
      </c>
      <c r="F37" s="4">
        <v>50</v>
      </c>
      <c r="G37" s="4">
        <v>30</v>
      </c>
      <c r="H37" s="4">
        <v>22</v>
      </c>
      <c r="I37" s="4">
        <v>37</v>
      </c>
      <c r="J37" s="4">
        <v>5</v>
      </c>
      <c r="K37" s="4">
        <v>47</v>
      </c>
      <c r="L37" s="4">
        <v>59</v>
      </c>
      <c r="M37" s="4">
        <v>38</v>
      </c>
      <c r="N37" s="4">
        <v>1</v>
      </c>
      <c r="O37" s="4">
        <v>55</v>
      </c>
      <c r="P37" s="4">
        <v>2</v>
      </c>
      <c r="Q37" s="4">
        <v>17</v>
      </c>
      <c r="R37" s="4">
        <v>27</v>
      </c>
      <c r="S37" s="4">
        <v>16</v>
      </c>
      <c r="T37" s="4">
        <v>49</v>
      </c>
      <c r="U37" s="4">
        <v>6</v>
      </c>
      <c r="V37" s="4">
        <v>26</v>
      </c>
      <c r="W37" s="4">
        <v>53</v>
      </c>
      <c r="X37" s="4">
        <v>54</v>
      </c>
      <c r="Y37" s="4">
        <v>61</v>
      </c>
      <c r="Z37" s="4">
        <v>18</v>
      </c>
      <c r="AA37" s="4">
        <v>45</v>
      </c>
      <c r="AB37" s="4">
        <v>31</v>
      </c>
      <c r="AC37" s="4">
        <v>41</v>
      </c>
      <c r="AD37" s="4">
        <v>33</v>
      </c>
      <c r="AE37" s="4">
        <v>7</v>
      </c>
      <c r="AF37" s="4">
        <v>8</v>
      </c>
      <c r="AG37" s="4">
        <v>15</v>
      </c>
      <c r="AH37" s="4">
        <v>40</v>
      </c>
      <c r="AI37" s="4">
        <v>11</v>
      </c>
      <c r="AJ37" s="4">
        <v>56</v>
      </c>
      <c r="AK37" s="4">
        <v>19</v>
      </c>
      <c r="AL37" s="4">
        <v>14</v>
      </c>
      <c r="AM37" s="4">
        <v>44</v>
      </c>
      <c r="AN37" s="4">
        <v>51</v>
      </c>
      <c r="AO37" s="4">
        <v>20</v>
      </c>
      <c r="AP37" s="4">
        <v>32</v>
      </c>
      <c r="AQ37" s="4">
        <v>64</v>
      </c>
      <c r="AR37" s="4">
        <v>34</v>
      </c>
      <c r="AS37" s="4">
        <v>29</v>
      </c>
      <c r="AT37" s="4">
        <v>4</v>
      </c>
      <c r="AU37" s="4">
        <v>28</v>
      </c>
      <c r="AV37" s="4">
        <v>9</v>
      </c>
      <c r="AW37" s="4">
        <v>62</v>
      </c>
      <c r="AX37" s="4">
        <v>46</v>
      </c>
      <c r="AY37" s="4">
        <v>63</v>
      </c>
      <c r="AZ37" s="4">
        <v>39</v>
      </c>
      <c r="BA37" s="4">
        <v>48</v>
      </c>
      <c r="BB37" s="4">
        <v>35</v>
      </c>
      <c r="BC37" s="4">
        <v>21</v>
      </c>
      <c r="BD37" s="4">
        <v>24</v>
      </c>
      <c r="BE37" s="4">
        <v>43</v>
      </c>
      <c r="BF37" s="4">
        <v>25</v>
      </c>
      <c r="BG37" s="4">
        <v>60</v>
      </c>
      <c r="BH37" s="4">
        <v>52</v>
      </c>
      <c r="BI37" s="4">
        <v>58</v>
      </c>
      <c r="BJ37" s="4">
        <v>36</v>
      </c>
      <c r="BK37" s="4">
        <v>42</v>
      </c>
      <c r="BL37" s="4">
        <v>57</v>
      </c>
      <c r="BM37" s="4">
        <v>23</v>
      </c>
      <c r="BN37" s="4">
        <v>0</v>
      </c>
      <c r="BO37" s="4">
        <v>0</v>
      </c>
      <c r="BP37" s="4">
        <v>0</v>
      </c>
      <c r="BQ37" s="4">
        <v>0</v>
      </c>
      <c r="BV37" s="34" t="s">
        <v>51</v>
      </c>
      <c r="BW37" s="67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8"/>
      <c r="CP37" s="68"/>
      <c r="CQ37" s="68"/>
      <c r="CR37" s="68"/>
      <c r="CS37" s="68"/>
      <c r="CT37" s="68"/>
      <c r="CU37" s="68"/>
      <c r="CV37" s="68"/>
      <c r="CW37" s="68"/>
      <c r="CX37" s="68"/>
      <c r="CY37" s="68"/>
      <c r="CZ37" s="68"/>
      <c r="DA37" s="68"/>
      <c r="DB37" s="68"/>
      <c r="DC37" s="68"/>
      <c r="DD37" s="68"/>
      <c r="DE37" s="68"/>
      <c r="DF37" s="68"/>
      <c r="DG37" s="68"/>
      <c r="DH37" s="68"/>
      <c r="DI37" s="68"/>
      <c r="DJ37" s="6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9"/>
      <c r="EP37" s="34" t="s">
        <v>51</v>
      </c>
      <c r="EQ37" s="67">
        <v>36</v>
      </c>
      <c r="ER37" s="68">
        <v>35</v>
      </c>
      <c r="ES37" s="68">
        <v>39</v>
      </c>
      <c r="ET37" s="68">
        <v>34</v>
      </c>
      <c r="EU37" s="68">
        <v>40</v>
      </c>
      <c r="EV37" s="68">
        <v>33</v>
      </c>
      <c r="EW37" s="68">
        <v>38</v>
      </c>
      <c r="EX37" s="68">
        <v>37</v>
      </c>
      <c r="EY37" s="69">
        <v>32</v>
      </c>
      <c r="EZ37" s="69">
        <v>31</v>
      </c>
      <c r="FA37" s="69">
        <v>30</v>
      </c>
      <c r="FB37" s="69">
        <v>29</v>
      </c>
      <c r="FC37" s="69">
        <v>28</v>
      </c>
      <c r="FD37" s="69">
        <v>27</v>
      </c>
      <c r="FE37" s="69">
        <v>26</v>
      </c>
      <c r="FF37" s="69">
        <v>25</v>
      </c>
      <c r="FG37" s="69">
        <v>24</v>
      </c>
      <c r="FH37" s="69">
        <v>23</v>
      </c>
      <c r="FI37" s="69">
        <v>22</v>
      </c>
      <c r="FJ37" s="69">
        <v>21</v>
      </c>
      <c r="FK37" s="69">
        <v>20</v>
      </c>
      <c r="FL37" s="69">
        <v>19</v>
      </c>
      <c r="FM37" s="69">
        <v>18</v>
      </c>
      <c r="FN37" s="69">
        <v>17</v>
      </c>
      <c r="FO37" s="69">
        <v>16</v>
      </c>
      <c r="FP37" s="69">
        <v>15</v>
      </c>
      <c r="FQ37" s="69">
        <v>14</v>
      </c>
      <c r="FR37" s="69">
        <v>13</v>
      </c>
      <c r="FS37" s="69">
        <v>12</v>
      </c>
      <c r="FT37" s="69">
        <v>11</v>
      </c>
      <c r="FU37" s="69">
        <v>10</v>
      </c>
      <c r="FV37" s="69">
        <v>9</v>
      </c>
      <c r="FW37" s="69">
        <v>8</v>
      </c>
      <c r="FX37" s="69">
        <v>7</v>
      </c>
      <c r="FY37" s="69">
        <v>6</v>
      </c>
      <c r="FZ37" s="69">
        <v>5</v>
      </c>
      <c r="GA37" s="69">
        <v>4</v>
      </c>
      <c r="GB37" s="69">
        <v>3</v>
      </c>
      <c r="GC37" s="69">
        <v>2</v>
      </c>
      <c r="GD37" s="69">
        <v>1</v>
      </c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9"/>
    </row>
    <row r="38" spans="4:210" ht="16.5" thickTop="1" thickBot="1" x14ac:dyDescent="0.55000000000000004">
      <c r="D38" s="101"/>
      <c r="E38" s="99"/>
      <c r="F38" s="4">
        <v>12</v>
      </c>
      <c r="G38" s="4">
        <v>13</v>
      </c>
      <c r="H38" s="4">
        <v>3</v>
      </c>
      <c r="I38" s="4">
        <v>10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V38" s="33" t="s">
        <v>48</v>
      </c>
      <c r="BW38" s="70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7"/>
      <c r="EP38" s="33" t="s">
        <v>48</v>
      </c>
      <c r="EQ38" s="70">
        <v>57</v>
      </c>
      <c r="ER38" s="36">
        <v>50</v>
      </c>
      <c r="ES38" s="36">
        <v>59</v>
      </c>
      <c r="ET38" s="36">
        <v>55</v>
      </c>
      <c r="EU38" s="36">
        <v>49</v>
      </c>
      <c r="EV38" s="36">
        <v>53</v>
      </c>
      <c r="EW38" s="36">
        <v>54</v>
      </c>
      <c r="EX38" s="36">
        <v>61</v>
      </c>
      <c r="EY38" s="36">
        <v>56</v>
      </c>
      <c r="EZ38" s="36">
        <v>51</v>
      </c>
      <c r="FA38" s="36">
        <v>64</v>
      </c>
      <c r="FB38" s="36">
        <v>62</v>
      </c>
      <c r="FC38" s="36">
        <v>63</v>
      </c>
      <c r="FD38" s="36">
        <v>60</v>
      </c>
      <c r="FE38" s="36">
        <v>52</v>
      </c>
      <c r="FF38" s="36">
        <v>58</v>
      </c>
      <c r="FG38" s="36">
        <v>0</v>
      </c>
      <c r="FH38" s="36">
        <v>0</v>
      </c>
      <c r="FI38" s="36">
        <v>0</v>
      </c>
      <c r="FJ38" s="36">
        <v>0</v>
      </c>
      <c r="FK38" s="36">
        <v>0</v>
      </c>
      <c r="FL38" s="36">
        <v>0</v>
      </c>
      <c r="FM38" s="36">
        <v>0</v>
      </c>
      <c r="FN38" s="36">
        <v>0</v>
      </c>
      <c r="FO38" s="36">
        <v>0</v>
      </c>
      <c r="FP38" s="36">
        <v>0</v>
      </c>
      <c r="FQ38" s="36">
        <v>0</v>
      </c>
      <c r="FR38" s="36">
        <v>0</v>
      </c>
      <c r="FS38" s="36">
        <v>0</v>
      </c>
      <c r="FT38" s="36">
        <v>0</v>
      </c>
      <c r="FU38" s="36">
        <v>0</v>
      </c>
      <c r="FV38" s="36">
        <v>0</v>
      </c>
      <c r="FW38" s="36">
        <v>0</v>
      </c>
      <c r="FX38" s="36">
        <v>0</v>
      </c>
      <c r="FY38" s="36">
        <v>0</v>
      </c>
      <c r="FZ38" s="36">
        <v>0</v>
      </c>
      <c r="GA38" s="36">
        <v>0</v>
      </c>
      <c r="GB38" s="36">
        <v>0</v>
      </c>
      <c r="GC38" s="36">
        <v>0</v>
      </c>
      <c r="GD38" s="36">
        <v>0</v>
      </c>
      <c r="GE38" s="36">
        <v>0</v>
      </c>
      <c r="GF38" s="36">
        <v>0</v>
      </c>
      <c r="GG38" s="36">
        <v>0</v>
      </c>
      <c r="GH38" s="36">
        <v>0</v>
      </c>
      <c r="GI38" s="36">
        <v>0</v>
      </c>
      <c r="GJ38" s="36">
        <v>0</v>
      </c>
      <c r="GK38" s="36">
        <v>0</v>
      </c>
      <c r="GL38" s="36">
        <v>0</v>
      </c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7"/>
    </row>
    <row r="39" spans="4:210" ht="16.149999999999999" thickBot="1" x14ac:dyDescent="0.55000000000000004">
      <c r="D39" s="100"/>
      <c r="E39" s="98" t="s">
        <v>12</v>
      </c>
      <c r="F39" s="4">
        <v>30</v>
      </c>
      <c r="G39" s="4">
        <v>22</v>
      </c>
      <c r="H39" s="4">
        <v>37</v>
      </c>
      <c r="I39" s="4">
        <v>5</v>
      </c>
      <c r="J39" s="4">
        <v>47</v>
      </c>
      <c r="K39" s="4">
        <v>59</v>
      </c>
      <c r="L39" s="4">
        <v>38</v>
      </c>
      <c r="M39" s="4">
        <v>1</v>
      </c>
      <c r="N39" s="4">
        <v>55</v>
      </c>
      <c r="O39" s="4">
        <v>2</v>
      </c>
      <c r="P39" s="4">
        <v>17</v>
      </c>
      <c r="Q39" s="4">
        <v>27</v>
      </c>
      <c r="R39" s="4">
        <v>16</v>
      </c>
      <c r="S39" s="4">
        <v>49</v>
      </c>
      <c r="T39" s="4">
        <v>6</v>
      </c>
      <c r="U39" s="4">
        <v>26</v>
      </c>
      <c r="V39" s="4">
        <v>53</v>
      </c>
      <c r="W39" s="4">
        <v>54</v>
      </c>
      <c r="X39" s="4">
        <v>61</v>
      </c>
      <c r="Y39" s="4">
        <v>18</v>
      </c>
      <c r="Z39" s="4">
        <v>45</v>
      </c>
      <c r="AA39" s="4">
        <v>31</v>
      </c>
      <c r="AB39" s="4">
        <v>41</v>
      </c>
      <c r="AC39" s="4">
        <v>33</v>
      </c>
      <c r="AD39" s="4">
        <v>7</v>
      </c>
      <c r="AE39" s="4">
        <v>8</v>
      </c>
      <c r="AF39" s="4">
        <v>15</v>
      </c>
      <c r="AG39" s="4">
        <v>40</v>
      </c>
      <c r="AH39" s="4">
        <v>11</v>
      </c>
      <c r="AI39" s="4">
        <v>56</v>
      </c>
      <c r="AJ39" s="4">
        <v>19</v>
      </c>
      <c r="AK39" s="4">
        <v>14</v>
      </c>
      <c r="AL39" s="4">
        <v>44</v>
      </c>
      <c r="AM39" s="4">
        <v>51</v>
      </c>
      <c r="AN39" s="4">
        <v>20</v>
      </c>
      <c r="AO39" s="4">
        <v>32</v>
      </c>
      <c r="AP39" s="4">
        <v>64</v>
      </c>
      <c r="AQ39" s="4">
        <v>34</v>
      </c>
      <c r="AR39" s="4">
        <v>29</v>
      </c>
      <c r="AS39" s="4">
        <v>4</v>
      </c>
      <c r="AT39" s="4">
        <v>28</v>
      </c>
      <c r="AU39" s="4">
        <v>9</v>
      </c>
      <c r="AV39" s="4">
        <v>62</v>
      </c>
      <c r="AW39" s="4">
        <v>46</v>
      </c>
      <c r="AX39" s="4">
        <v>63</v>
      </c>
      <c r="AY39" s="4">
        <v>39</v>
      </c>
      <c r="AZ39" s="4">
        <v>48</v>
      </c>
      <c r="BA39" s="4">
        <v>35</v>
      </c>
      <c r="BB39" s="4">
        <v>21</v>
      </c>
      <c r="BC39" s="4">
        <v>24</v>
      </c>
      <c r="BD39" s="4">
        <v>43</v>
      </c>
      <c r="BE39" s="4">
        <v>25</v>
      </c>
      <c r="BF39" s="4">
        <v>60</v>
      </c>
      <c r="BG39" s="4">
        <v>52</v>
      </c>
      <c r="BH39" s="4">
        <v>58</v>
      </c>
      <c r="BI39" s="4">
        <v>36</v>
      </c>
      <c r="BJ39" s="4">
        <v>42</v>
      </c>
      <c r="BK39" s="4">
        <v>57</v>
      </c>
      <c r="BL39" s="4">
        <v>23</v>
      </c>
      <c r="BM39" s="4">
        <v>50</v>
      </c>
      <c r="BN39" s="4">
        <v>0</v>
      </c>
      <c r="BO39" s="4">
        <v>0</v>
      </c>
      <c r="BP39" s="4">
        <v>0</v>
      </c>
      <c r="BQ39" s="4">
        <v>0</v>
      </c>
      <c r="BV39" s="34" t="s">
        <v>51</v>
      </c>
      <c r="BW39" s="67"/>
      <c r="BX39" s="68"/>
      <c r="BY39" s="68"/>
      <c r="BZ39" s="68"/>
      <c r="CA39" s="68"/>
      <c r="CB39" s="68"/>
      <c r="CC39" s="68"/>
      <c r="CD39" s="68"/>
      <c r="CE39" s="68"/>
      <c r="CF39" s="68"/>
      <c r="CG39" s="68"/>
      <c r="CH39" s="68"/>
      <c r="CI39" s="68"/>
      <c r="CJ39" s="68"/>
      <c r="CK39" s="68"/>
      <c r="CL39" s="68"/>
      <c r="CM39" s="68"/>
      <c r="CN39" s="68"/>
      <c r="CO39" s="68"/>
      <c r="CP39" s="68"/>
      <c r="CQ39" s="68"/>
      <c r="CR39" s="68"/>
      <c r="CS39" s="68"/>
      <c r="CT39" s="68"/>
      <c r="CU39" s="68"/>
      <c r="CV39" s="68"/>
      <c r="CW39" s="68"/>
      <c r="CX39" s="68"/>
      <c r="CY39" s="68"/>
      <c r="CZ39" s="68"/>
      <c r="DA39" s="68"/>
      <c r="DB39" s="68"/>
      <c r="DC39" s="68"/>
      <c r="DD39" s="68"/>
      <c r="DE39" s="68"/>
      <c r="DF39" s="68"/>
      <c r="DG39" s="68"/>
      <c r="DH39" s="68"/>
      <c r="DI39" s="68"/>
      <c r="DJ39" s="68"/>
      <c r="DK39" s="68"/>
      <c r="DL39" s="68"/>
      <c r="DM39" s="68"/>
      <c r="DN39" s="68"/>
      <c r="DO39" s="68"/>
      <c r="DP39" s="68"/>
      <c r="DQ39" s="68"/>
      <c r="DR39" s="6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9"/>
      <c r="EP39" s="34" t="s">
        <v>51</v>
      </c>
      <c r="EQ39" s="71">
        <v>48</v>
      </c>
      <c r="ER39" s="72">
        <v>47</v>
      </c>
      <c r="ES39" s="72">
        <v>46</v>
      </c>
      <c r="ET39" s="72">
        <v>45</v>
      </c>
      <c r="EU39" s="72">
        <v>44</v>
      </c>
      <c r="EV39" s="72">
        <v>43</v>
      </c>
      <c r="EW39" s="72">
        <v>42</v>
      </c>
      <c r="EX39" s="72">
        <v>41</v>
      </c>
      <c r="EY39" s="68">
        <v>36</v>
      </c>
      <c r="EZ39" s="68">
        <v>35</v>
      </c>
      <c r="FA39" s="68">
        <v>39</v>
      </c>
      <c r="FB39" s="68">
        <v>34</v>
      </c>
      <c r="FC39" s="68">
        <v>40</v>
      </c>
      <c r="FD39" s="68">
        <v>33</v>
      </c>
      <c r="FE39" s="68">
        <v>38</v>
      </c>
      <c r="FF39" s="68">
        <v>37</v>
      </c>
      <c r="FG39" s="69">
        <v>32</v>
      </c>
      <c r="FH39" s="69">
        <v>31</v>
      </c>
      <c r="FI39" s="69">
        <v>30</v>
      </c>
      <c r="FJ39" s="69">
        <v>29</v>
      </c>
      <c r="FK39" s="69">
        <v>28</v>
      </c>
      <c r="FL39" s="69">
        <v>27</v>
      </c>
      <c r="FM39" s="69">
        <v>26</v>
      </c>
      <c r="FN39" s="69">
        <v>25</v>
      </c>
      <c r="FO39" s="69">
        <v>24</v>
      </c>
      <c r="FP39" s="69">
        <v>23</v>
      </c>
      <c r="FQ39" s="69">
        <v>22</v>
      </c>
      <c r="FR39" s="69">
        <v>21</v>
      </c>
      <c r="FS39" s="69">
        <v>20</v>
      </c>
      <c r="FT39" s="69">
        <v>19</v>
      </c>
      <c r="FU39" s="69">
        <v>18</v>
      </c>
      <c r="FV39" s="69">
        <v>17</v>
      </c>
      <c r="FW39" s="69">
        <v>16</v>
      </c>
      <c r="FX39" s="69">
        <v>15</v>
      </c>
      <c r="FY39" s="69">
        <v>14</v>
      </c>
      <c r="FZ39" s="69">
        <v>13</v>
      </c>
      <c r="GA39" s="69">
        <v>12</v>
      </c>
      <c r="GB39" s="69">
        <v>11</v>
      </c>
      <c r="GC39" s="69">
        <v>10</v>
      </c>
      <c r="GD39" s="69">
        <v>9</v>
      </c>
      <c r="GE39" s="69">
        <v>8</v>
      </c>
      <c r="GF39" s="69">
        <v>7</v>
      </c>
      <c r="GG39" s="69">
        <v>6</v>
      </c>
      <c r="GH39" s="69">
        <v>5</v>
      </c>
      <c r="GI39" s="69">
        <v>4</v>
      </c>
      <c r="GJ39" s="69">
        <v>3</v>
      </c>
      <c r="GK39" s="69">
        <v>2</v>
      </c>
      <c r="GL39" s="69">
        <v>1</v>
      </c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9"/>
    </row>
    <row r="40" spans="4:210" ht="16.5" thickTop="1" thickBot="1" x14ac:dyDescent="0.55000000000000004">
      <c r="D40" s="101"/>
      <c r="E40" s="99"/>
      <c r="F40" s="4">
        <v>12</v>
      </c>
      <c r="G40" s="4">
        <v>13</v>
      </c>
      <c r="H40" s="4">
        <v>3</v>
      </c>
      <c r="I40" s="4">
        <v>10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V40" s="33" t="s">
        <v>48</v>
      </c>
      <c r="BW40" s="70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74"/>
      <c r="DL40" s="74"/>
      <c r="DM40" s="74"/>
      <c r="DN40" s="74"/>
      <c r="DO40" s="74"/>
      <c r="DP40" s="74"/>
      <c r="DQ40" s="74"/>
      <c r="DR40" s="74"/>
      <c r="DS40" s="74"/>
      <c r="DT40" s="74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7"/>
      <c r="EP40" s="33" t="s">
        <v>48</v>
      </c>
      <c r="EQ40" s="65">
        <v>41</v>
      </c>
      <c r="ER40" s="66">
        <v>42</v>
      </c>
      <c r="ES40" s="66">
        <v>43</v>
      </c>
      <c r="ET40" s="66">
        <v>44</v>
      </c>
      <c r="EU40" s="66">
        <v>45</v>
      </c>
      <c r="EV40" s="66">
        <v>46</v>
      </c>
      <c r="EW40" s="66">
        <v>47</v>
      </c>
      <c r="EX40" s="66">
        <v>48</v>
      </c>
      <c r="EY40" s="36">
        <v>57</v>
      </c>
      <c r="EZ40" s="36">
        <v>50</v>
      </c>
      <c r="FA40" s="36">
        <v>59</v>
      </c>
      <c r="FB40" s="36">
        <v>55</v>
      </c>
      <c r="FC40" s="36">
        <v>49</v>
      </c>
      <c r="FD40" s="36">
        <v>53</v>
      </c>
      <c r="FE40" s="36">
        <v>54</v>
      </c>
      <c r="FF40" s="36">
        <v>61</v>
      </c>
      <c r="FG40" s="36">
        <v>56</v>
      </c>
      <c r="FH40" s="36">
        <v>51</v>
      </c>
      <c r="FI40" s="36">
        <v>64</v>
      </c>
      <c r="FJ40" s="36">
        <v>62</v>
      </c>
      <c r="FK40" s="36">
        <v>63</v>
      </c>
      <c r="FL40" s="36">
        <v>60</v>
      </c>
      <c r="FM40" s="36">
        <v>52</v>
      </c>
      <c r="FN40" s="36">
        <v>58</v>
      </c>
      <c r="FO40" s="36">
        <v>0</v>
      </c>
      <c r="FP40" s="36">
        <v>0</v>
      </c>
      <c r="FQ40" s="36">
        <v>0</v>
      </c>
      <c r="FR40" s="36">
        <v>0</v>
      </c>
      <c r="FS40" s="36">
        <v>0</v>
      </c>
      <c r="FT40" s="36">
        <v>0</v>
      </c>
      <c r="FU40" s="36">
        <v>0</v>
      </c>
      <c r="FV40" s="36">
        <v>0</v>
      </c>
      <c r="FW40" s="36">
        <v>0</v>
      </c>
      <c r="FX40" s="36">
        <v>0</v>
      </c>
      <c r="FY40" s="36">
        <v>0</v>
      </c>
      <c r="FZ40" s="36">
        <v>0</v>
      </c>
      <c r="GA40" s="36">
        <v>0</v>
      </c>
      <c r="GB40" s="36">
        <v>0</v>
      </c>
      <c r="GC40" s="36">
        <v>0</v>
      </c>
      <c r="GD40" s="36">
        <v>0</v>
      </c>
      <c r="GE40" s="74"/>
      <c r="GF40" s="74"/>
      <c r="GG40" s="74"/>
      <c r="GH40" s="74"/>
      <c r="GI40" s="74"/>
      <c r="GJ40" s="74"/>
      <c r="GK40" s="74"/>
      <c r="GL40" s="74"/>
      <c r="GM40" s="74"/>
      <c r="GN40" s="74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7"/>
    </row>
    <row r="41" spans="4:210" ht="16.149999999999999" thickBot="1" x14ac:dyDescent="0.55000000000000004">
      <c r="D41" s="100"/>
      <c r="E41" s="98" t="s">
        <v>12</v>
      </c>
      <c r="F41" s="4">
        <v>22</v>
      </c>
      <c r="G41" s="4">
        <v>37</v>
      </c>
      <c r="H41" s="4">
        <v>5</v>
      </c>
      <c r="I41" s="4">
        <v>47</v>
      </c>
      <c r="J41" s="4">
        <v>59</v>
      </c>
      <c r="K41" s="4">
        <v>38</v>
      </c>
      <c r="L41" s="4">
        <v>1</v>
      </c>
      <c r="M41" s="4">
        <v>55</v>
      </c>
      <c r="N41" s="4">
        <v>2</v>
      </c>
      <c r="O41" s="4">
        <v>17</v>
      </c>
      <c r="P41" s="4">
        <v>27</v>
      </c>
      <c r="Q41" s="4">
        <v>16</v>
      </c>
      <c r="R41" s="4">
        <v>49</v>
      </c>
      <c r="S41" s="4">
        <v>6</v>
      </c>
      <c r="T41" s="4">
        <v>26</v>
      </c>
      <c r="U41" s="4">
        <v>53</v>
      </c>
      <c r="V41" s="4">
        <v>54</v>
      </c>
      <c r="W41" s="4">
        <v>61</v>
      </c>
      <c r="X41" s="4">
        <v>18</v>
      </c>
      <c r="Y41" s="4">
        <v>45</v>
      </c>
      <c r="Z41" s="4">
        <v>31</v>
      </c>
      <c r="AA41" s="4">
        <v>41</v>
      </c>
      <c r="AB41" s="4">
        <v>33</v>
      </c>
      <c r="AC41" s="4">
        <v>7</v>
      </c>
      <c r="AD41" s="4">
        <v>8</v>
      </c>
      <c r="AE41" s="4">
        <v>15</v>
      </c>
      <c r="AF41" s="4">
        <v>40</v>
      </c>
      <c r="AG41" s="4">
        <v>11</v>
      </c>
      <c r="AH41" s="4">
        <v>56</v>
      </c>
      <c r="AI41" s="4">
        <v>19</v>
      </c>
      <c r="AJ41" s="4">
        <v>14</v>
      </c>
      <c r="AK41" s="4">
        <v>44</v>
      </c>
      <c r="AL41" s="4">
        <v>51</v>
      </c>
      <c r="AM41" s="4">
        <v>20</v>
      </c>
      <c r="AN41" s="4">
        <v>32</v>
      </c>
      <c r="AO41" s="4">
        <v>64</v>
      </c>
      <c r="AP41" s="4">
        <v>34</v>
      </c>
      <c r="AQ41" s="4">
        <v>29</v>
      </c>
      <c r="AR41" s="4">
        <v>4</v>
      </c>
      <c r="AS41" s="4">
        <v>28</v>
      </c>
      <c r="AT41" s="4">
        <v>9</v>
      </c>
      <c r="AU41" s="4">
        <v>62</v>
      </c>
      <c r="AV41" s="4">
        <v>46</v>
      </c>
      <c r="AW41" s="4">
        <v>63</v>
      </c>
      <c r="AX41" s="4">
        <v>39</v>
      </c>
      <c r="AY41" s="4">
        <v>48</v>
      </c>
      <c r="AZ41" s="4">
        <v>35</v>
      </c>
      <c r="BA41" s="4">
        <v>21</v>
      </c>
      <c r="BB41" s="4">
        <v>24</v>
      </c>
      <c r="BC41" s="4">
        <v>43</v>
      </c>
      <c r="BD41" s="4">
        <v>25</v>
      </c>
      <c r="BE41" s="4">
        <v>60</v>
      </c>
      <c r="BF41" s="4">
        <v>52</v>
      </c>
      <c r="BG41" s="4">
        <v>58</v>
      </c>
      <c r="BH41" s="4">
        <v>36</v>
      </c>
      <c r="BI41" s="4">
        <v>42</v>
      </c>
      <c r="BJ41" s="4">
        <v>57</v>
      </c>
      <c r="BK41" s="4">
        <v>23</v>
      </c>
      <c r="BL41" s="4">
        <v>50</v>
      </c>
      <c r="BM41" s="4">
        <v>30</v>
      </c>
      <c r="BN41" s="4">
        <v>0</v>
      </c>
      <c r="BO41" s="4">
        <v>0</v>
      </c>
      <c r="BP41" s="4">
        <v>0</v>
      </c>
      <c r="BQ41" s="4">
        <v>0</v>
      </c>
      <c r="BV41" s="34" t="s">
        <v>51</v>
      </c>
      <c r="BW41" s="67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  <c r="CW41" s="68"/>
      <c r="CX41" s="68"/>
      <c r="CY41" s="68"/>
      <c r="CZ41" s="68"/>
      <c r="DA41" s="68"/>
      <c r="DB41" s="68"/>
      <c r="DC41" s="68"/>
      <c r="DD41" s="68"/>
      <c r="DE41" s="68"/>
      <c r="DF41" s="68"/>
      <c r="DG41" s="68"/>
      <c r="DH41" s="68"/>
      <c r="DI41" s="68"/>
      <c r="DJ41" s="68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9"/>
      <c r="EP41" s="34" t="s">
        <v>51</v>
      </c>
      <c r="EQ41" s="76">
        <v>36</v>
      </c>
      <c r="ER41" s="77">
        <v>35</v>
      </c>
      <c r="ES41" s="77">
        <v>39</v>
      </c>
      <c r="ET41" s="77">
        <v>34</v>
      </c>
      <c r="EU41" s="77">
        <v>40</v>
      </c>
      <c r="EV41" s="77">
        <v>33</v>
      </c>
      <c r="EW41" s="77">
        <v>38</v>
      </c>
      <c r="EX41" s="77">
        <v>37</v>
      </c>
      <c r="EY41" s="69">
        <v>32</v>
      </c>
      <c r="EZ41" s="69">
        <v>31</v>
      </c>
      <c r="FA41" s="69">
        <v>30</v>
      </c>
      <c r="FB41" s="69">
        <v>29</v>
      </c>
      <c r="FC41" s="69">
        <v>28</v>
      </c>
      <c r="FD41" s="69">
        <v>27</v>
      </c>
      <c r="FE41" s="69">
        <v>26</v>
      </c>
      <c r="FF41" s="69">
        <v>25</v>
      </c>
      <c r="FG41" s="69">
        <v>24</v>
      </c>
      <c r="FH41" s="69">
        <v>23</v>
      </c>
      <c r="FI41" s="69">
        <v>22</v>
      </c>
      <c r="FJ41" s="69">
        <v>21</v>
      </c>
      <c r="FK41" s="69">
        <v>20</v>
      </c>
      <c r="FL41" s="69">
        <v>19</v>
      </c>
      <c r="FM41" s="69">
        <v>18</v>
      </c>
      <c r="FN41" s="69">
        <v>17</v>
      </c>
      <c r="FO41" s="69">
        <v>16</v>
      </c>
      <c r="FP41" s="69">
        <v>15</v>
      </c>
      <c r="FQ41" s="69">
        <v>14</v>
      </c>
      <c r="FR41" s="69">
        <v>13</v>
      </c>
      <c r="FS41" s="69">
        <v>12</v>
      </c>
      <c r="FT41" s="69">
        <v>11</v>
      </c>
      <c r="FU41" s="69">
        <v>10</v>
      </c>
      <c r="FV41" s="69">
        <v>9</v>
      </c>
      <c r="FW41" s="69">
        <v>8</v>
      </c>
      <c r="FX41" s="69">
        <v>7</v>
      </c>
      <c r="FY41" s="69">
        <v>6</v>
      </c>
      <c r="FZ41" s="69">
        <v>5</v>
      </c>
      <c r="GA41" s="69">
        <v>4</v>
      </c>
      <c r="GB41" s="69">
        <v>3</v>
      </c>
      <c r="GC41" s="69">
        <v>2</v>
      </c>
      <c r="GD41" s="69">
        <v>1</v>
      </c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9"/>
    </row>
    <row r="42" spans="4:210" ht="16.5" thickTop="1" thickBot="1" x14ac:dyDescent="0.55000000000000004">
      <c r="D42" s="101"/>
      <c r="E42" s="99"/>
      <c r="F42" s="4">
        <v>12</v>
      </c>
      <c r="G42" s="4">
        <v>13</v>
      </c>
      <c r="H42" s="4">
        <v>3</v>
      </c>
      <c r="I42" s="4">
        <v>10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V42" s="33" t="s">
        <v>48</v>
      </c>
      <c r="BW42" s="70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7"/>
      <c r="EP42" s="33" t="s">
        <v>48</v>
      </c>
      <c r="EQ42" s="78">
        <v>33</v>
      </c>
      <c r="ER42" s="79">
        <v>34</v>
      </c>
      <c r="ES42" s="79">
        <v>35</v>
      </c>
      <c r="ET42" s="79">
        <v>36</v>
      </c>
      <c r="EU42" s="79">
        <v>37</v>
      </c>
      <c r="EV42" s="79">
        <v>38</v>
      </c>
      <c r="EW42" s="79">
        <v>39</v>
      </c>
      <c r="EX42" s="79">
        <v>40</v>
      </c>
      <c r="EY42" s="36">
        <v>41</v>
      </c>
      <c r="EZ42" s="36">
        <v>42</v>
      </c>
      <c r="FA42" s="36">
        <v>43</v>
      </c>
      <c r="FB42" s="36">
        <v>44</v>
      </c>
      <c r="FC42" s="36">
        <v>45</v>
      </c>
      <c r="FD42" s="36">
        <v>46</v>
      </c>
      <c r="FE42" s="36">
        <v>47</v>
      </c>
      <c r="FF42" s="36">
        <v>48</v>
      </c>
      <c r="FG42" s="36">
        <v>57</v>
      </c>
      <c r="FH42" s="36">
        <v>50</v>
      </c>
      <c r="FI42" s="36">
        <v>59</v>
      </c>
      <c r="FJ42" s="36">
        <v>55</v>
      </c>
      <c r="FK42" s="36">
        <v>49</v>
      </c>
      <c r="FL42" s="36">
        <v>53</v>
      </c>
      <c r="FM42" s="36">
        <v>54</v>
      </c>
      <c r="FN42" s="36">
        <v>61</v>
      </c>
      <c r="FO42" s="36">
        <v>56</v>
      </c>
      <c r="FP42" s="36">
        <v>51</v>
      </c>
      <c r="FQ42" s="36">
        <v>64</v>
      </c>
      <c r="FR42" s="36">
        <v>62</v>
      </c>
      <c r="FS42" s="36">
        <v>63</v>
      </c>
      <c r="FT42" s="36">
        <v>60</v>
      </c>
      <c r="FU42" s="36">
        <v>52</v>
      </c>
      <c r="FV42" s="36">
        <v>58</v>
      </c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7"/>
    </row>
    <row r="43" spans="4:210" ht="16.149999999999999" thickBot="1" x14ac:dyDescent="0.55000000000000004">
      <c r="D43" s="100"/>
      <c r="E43" s="98" t="s">
        <v>12</v>
      </c>
      <c r="F43" s="4">
        <v>37</v>
      </c>
      <c r="G43" s="4">
        <v>5</v>
      </c>
      <c r="H43" s="4">
        <v>47</v>
      </c>
      <c r="I43" s="4">
        <v>59</v>
      </c>
      <c r="J43" s="4">
        <v>38</v>
      </c>
      <c r="K43" s="4">
        <v>1</v>
      </c>
      <c r="L43" s="4">
        <v>55</v>
      </c>
      <c r="M43" s="4">
        <v>2</v>
      </c>
      <c r="N43" s="4">
        <v>17</v>
      </c>
      <c r="O43" s="4">
        <v>27</v>
      </c>
      <c r="P43" s="4">
        <v>16</v>
      </c>
      <c r="Q43" s="4">
        <v>49</v>
      </c>
      <c r="R43" s="4">
        <v>6</v>
      </c>
      <c r="S43" s="4">
        <v>26</v>
      </c>
      <c r="T43" s="4">
        <v>53</v>
      </c>
      <c r="U43" s="4">
        <v>54</v>
      </c>
      <c r="V43" s="4">
        <v>61</v>
      </c>
      <c r="W43" s="4">
        <v>18</v>
      </c>
      <c r="X43" s="4">
        <v>45</v>
      </c>
      <c r="Y43" s="4">
        <v>31</v>
      </c>
      <c r="Z43" s="4">
        <v>41</v>
      </c>
      <c r="AA43" s="4">
        <v>33</v>
      </c>
      <c r="AB43" s="4">
        <v>7</v>
      </c>
      <c r="AC43" s="4">
        <v>8</v>
      </c>
      <c r="AD43" s="4">
        <v>15</v>
      </c>
      <c r="AE43" s="4">
        <v>40</v>
      </c>
      <c r="AF43" s="4">
        <v>11</v>
      </c>
      <c r="AG43" s="4">
        <v>56</v>
      </c>
      <c r="AH43" s="4">
        <v>19</v>
      </c>
      <c r="AI43" s="4">
        <v>14</v>
      </c>
      <c r="AJ43" s="4">
        <v>44</v>
      </c>
      <c r="AK43" s="4">
        <v>51</v>
      </c>
      <c r="AL43" s="4">
        <v>20</v>
      </c>
      <c r="AM43" s="4">
        <v>32</v>
      </c>
      <c r="AN43" s="4">
        <v>64</v>
      </c>
      <c r="AO43" s="4">
        <v>34</v>
      </c>
      <c r="AP43" s="4">
        <v>29</v>
      </c>
      <c r="AQ43" s="4">
        <v>4</v>
      </c>
      <c r="AR43" s="4">
        <v>28</v>
      </c>
      <c r="AS43" s="4">
        <v>9</v>
      </c>
      <c r="AT43" s="4">
        <v>62</v>
      </c>
      <c r="AU43" s="4">
        <v>46</v>
      </c>
      <c r="AV43" s="4">
        <v>63</v>
      </c>
      <c r="AW43" s="4">
        <v>39</v>
      </c>
      <c r="AX43" s="4">
        <v>48</v>
      </c>
      <c r="AY43" s="4">
        <v>35</v>
      </c>
      <c r="AZ43" s="4">
        <v>21</v>
      </c>
      <c r="BA43" s="4">
        <v>24</v>
      </c>
      <c r="BB43" s="4">
        <v>43</v>
      </c>
      <c r="BC43" s="4">
        <v>25</v>
      </c>
      <c r="BD43" s="4">
        <v>60</v>
      </c>
      <c r="BE43" s="4">
        <v>52</v>
      </c>
      <c r="BF43" s="4">
        <v>58</v>
      </c>
      <c r="BG43" s="4">
        <v>36</v>
      </c>
      <c r="BH43" s="4">
        <v>42</v>
      </c>
      <c r="BI43" s="4">
        <v>57</v>
      </c>
      <c r="BJ43" s="4">
        <v>23</v>
      </c>
      <c r="BK43" s="4">
        <v>50</v>
      </c>
      <c r="BL43" s="4">
        <v>30</v>
      </c>
      <c r="BM43" s="4">
        <v>22</v>
      </c>
      <c r="BN43" s="4">
        <v>0</v>
      </c>
      <c r="BO43" s="4">
        <v>0</v>
      </c>
      <c r="BP43" s="4">
        <v>0</v>
      </c>
      <c r="BQ43" s="4">
        <v>0</v>
      </c>
      <c r="BV43" s="34" t="s">
        <v>51</v>
      </c>
      <c r="BW43" s="67"/>
      <c r="BX43" s="68"/>
      <c r="BY43" s="68"/>
      <c r="BZ43" s="68"/>
      <c r="CA43" s="68"/>
      <c r="CB43" s="68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9"/>
      <c r="EP43" s="34" t="s">
        <v>51</v>
      </c>
      <c r="EQ43" s="73">
        <v>32</v>
      </c>
      <c r="ER43" s="69">
        <v>31</v>
      </c>
      <c r="ES43" s="69">
        <v>30</v>
      </c>
      <c r="ET43" s="69">
        <v>29</v>
      </c>
      <c r="EU43" s="69">
        <v>28</v>
      </c>
      <c r="EV43" s="69">
        <v>27</v>
      </c>
      <c r="EW43" s="69">
        <v>26</v>
      </c>
      <c r="EX43" s="69">
        <v>25</v>
      </c>
      <c r="EY43" s="69">
        <v>24</v>
      </c>
      <c r="EZ43" s="69">
        <v>23</v>
      </c>
      <c r="FA43" s="69">
        <v>22</v>
      </c>
      <c r="FB43" s="69">
        <v>21</v>
      </c>
      <c r="FC43" s="69">
        <v>20</v>
      </c>
      <c r="FD43" s="69">
        <v>19</v>
      </c>
      <c r="FE43" s="69">
        <v>18</v>
      </c>
      <c r="FF43" s="69">
        <v>17</v>
      </c>
      <c r="FG43" s="69">
        <v>16</v>
      </c>
      <c r="FH43" s="69">
        <v>15</v>
      </c>
      <c r="FI43" s="69">
        <v>14</v>
      </c>
      <c r="FJ43" s="69">
        <v>13</v>
      </c>
      <c r="FK43" s="69">
        <v>12</v>
      </c>
      <c r="FL43" s="69">
        <v>11</v>
      </c>
      <c r="FM43" s="69">
        <v>10</v>
      </c>
      <c r="FN43" s="69">
        <v>9</v>
      </c>
      <c r="FO43" s="69">
        <v>8</v>
      </c>
      <c r="FP43" s="69">
        <v>7</v>
      </c>
      <c r="FQ43" s="69">
        <v>6</v>
      </c>
      <c r="FR43" s="69">
        <v>5</v>
      </c>
      <c r="FS43" s="69">
        <v>4</v>
      </c>
      <c r="FT43" s="69">
        <v>3</v>
      </c>
      <c r="FU43" s="69">
        <v>2</v>
      </c>
      <c r="FV43" s="69">
        <v>1</v>
      </c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9"/>
    </row>
    <row r="44" spans="4:210" ht="16.5" thickTop="1" thickBot="1" x14ac:dyDescent="0.55000000000000004">
      <c r="D44" s="101"/>
      <c r="E44" s="99"/>
      <c r="F44" s="4">
        <v>12</v>
      </c>
      <c r="G44" s="4">
        <v>13</v>
      </c>
      <c r="H44" s="4">
        <v>3</v>
      </c>
      <c r="I44" s="4">
        <v>10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V44" s="33" t="s">
        <v>48</v>
      </c>
      <c r="BW44" s="70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7"/>
      <c r="EP44" s="33" t="s">
        <v>48</v>
      </c>
      <c r="EQ44" s="70">
        <v>57</v>
      </c>
      <c r="ER44" s="36">
        <v>50</v>
      </c>
      <c r="ES44" s="36">
        <v>59</v>
      </c>
      <c r="ET44" s="36">
        <v>55</v>
      </c>
      <c r="EU44" s="36">
        <v>49</v>
      </c>
      <c r="EV44" s="36">
        <v>53</v>
      </c>
      <c r="EW44" s="36">
        <v>54</v>
      </c>
      <c r="EX44" s="36">
        <v>61</v>
      </c>
      <c r="EY44" s="36">
        <v>56</v>
      </c>
      <c r="EZ44" s="36">
        <v>51</v>
      </c>
      <c r="FA44" s="36">
        <v>64</v>
      </c>
      <c r="FB44" s="36">
        <v>62</v>
      </c>
      <c r="FC44" s="36">
        <v>63</v>
      </c>
      <c r="FD44" s="36">
        <v>60</v>
      </c>
      <c r="FE44" s="36">
        <v>52</v>
      </c>
      <c r="FF44" s="36">
        <v>58</v>
      </c>
      <c r="FG44" s="36">
        <v>0</v>
      </c>
      <c r="FH44" s="36">
        <v>0</v>
      </c>
      <c r="FI44" s="36">
        <v>0</v>
      </c>
      <c r="FJ44" s="36">
        <v>0</v>
      </c>
      <c r="FK44" s="36">
        <v>0</v>
      </c>
      <c r="FL44" s="36">
        <v>0</v>
      </c>
      <c r="FM44" s="36">
        <v>0</v>
      </c>
      <c r="FN44" s="36">
        <v>0</v>
      </c>
      <c r="FO44" s="36">
        <v>0</v>
      </c>
      <c r="FP44" s="36">
        <v>0</v>
      </c>
      <c r="FQ44" s="36">
        <v>0</v>
      </c>
      <c r="FR44" s="36">
        <v>0</v>
      </c>
      <c r="FS44" s="36">
        <v>0</v>
      </c>
      <c r="FT44" s="36">
        <v>0</v>
      </c>
      <c r="FU44" s="36">
        <v>0</v>
      </c>
      <c r="FV44" s="36">
        <v>0</v>
      </c>
      <c r="FW44" s="36">
        <v>0</v>
      </c>
      <c r="FX44" s="36">
        <v>0</v>
      </c>
      <c r="FY44" s="36">
        <v>0</v>
      </c>
      <c r="FZ44" s="36">
        <v>0</v>
      </c>
      <c r="GA44" s="36">
        <v>0</v>
      </c>
      <c r="GB44" s="36">
        <v>0</v>
      </c>
      <c r="GC44" s="36">
        <v>0</v>
      </c>
      <c r="GD44" s="36">
        <v>0</v>
      </c>
      <c r="GE44" s="36">
        <v>0</v>
      </c>
      <c r="GF44" s="36">
        <v>0</v>
      </c>
      <c r="GG44" s="36">
        <v>0</v>
      </c>
      <c r="GH44" s="36">
        <v>0</v>
      </c>
      <c r="GI44" s="36">
        <v>0</v>
      </c>
      <c r="GJ44" s="36">
        <v>0</v>
      </c>
      <c r="GK44" s="36">
        <v>0</v>
      </c>
      <c r="GL44" s="36">
        <v>0</v>
      </c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7"/>
    </row>
    <row r="45" spans="4:210" ht="16.149999999999999" thickBot="1" x14ac:dyDescent="0.55000000000000004">
      <c r="D45" s="100"/>
      <c r="E45" s="98" t="s">
        <v>12</v>
      </c>
      <c r="F45" s="4">
        <v>5</v>
      </c>
      <c r="G45" s="4">
        <v>47</v>
      </c>
      <c r="H45" s="4">
        <v>59</v>
      </c>
      <c r="I45" s="4">
        <v>38</v>
      </c>
      <c r="J45" s="4">
        <v>1</v>
      </c>
      <c r="K45" s="4">
        <v>55</v>
      </c>
      <c r="L45" s="4">
        <v>2</v>
      </c>
      <c r="M45" s="4">
        <v>17</v>
      </c>
      <c r="N45" s="4">
        <v>27</v>
      </c>
      <c r="O45" s="4">
        <v>16</v>
      </c>
      <c r="P45" s="4">
        <v>49</v>
      </c>
      <c r="Q45" s="4">
        <v>6</v>
      </c>
      <c r="R45" s="4">
        <v>26</v>
      </c>
      <c r="S45" s="4">
        <v>53</v>
      </c>
      <c r="T45" s="4">
        <v>54</v>
      </c>
      <c r="U45" s="4">
        <v>61</v>
      </c>
      <c r="V45" s="4">
        <v>18</v>
      </c>
      <c r="W45" s="4">
        <v>45</v>
      </c>
      <c r="X45" s="4">
        <v>31</v>
      </c>
      <c r="Y45" s="4">
        <v>41</v>
      </c>
      <c r="Z45" s="4">
        <v>33</v>
      </c>
      <c r="AA45" s="4">
        <v>7</v>
      </c>
      <c r="AB45" s="4">
        <v>8</v>
      </c>
      <c r="AC45" s="4">
        <v>15</v>
      </c>
      <c r="AD45" s="4">
        <v>40</v>
      </c>
      <c r="AE45" s="4">
        <v>11</v>
      </c>
      <c r="AF45" s="4">
        <v>56</v>
      </c>
      <c r="AG45" s="4">
        <v>19</v>
      </c>
      <c r="AH45" s="4">
        <v>14</v>
      </c>
      <c r="AI45" s="4">
        <v>44</v>
      </c>
      <c r="AJ45" s="4">
        <v>51</v>
      </c>
      <c r="AK45" s="4">
        <v>20</v>
      </c>
      <c r="AL45" s="4">
        <v>32</v>
      </c>
      <c r="AM45" s="4">
        <v>64</v>
      </c>
      <c r="AN45" s="4">
        <v>34</v>
      </c>
      <c r="AO45" s="4">
        <v>29</v>
      </c>
      <c r="AP45" s="4">
        <v>4</v>
      </c>
      <c r="AQ45" s="4">
        <v>28</v>
      </c>
      <c r="AR45" s="4">
        <v>9</v>
      </c>
      <c r="AS45" s="4">
        <v>62</v>
      </c>
      <c r="AT45" s="4">
        <v>46</v>
      </c>
      <c r="AU45" s="4">
        <v>63</v>
      </c>
      <c r="AV45" s="4">
        <v>39</v>
      </c>
      <c r="AW45" s="4">
        <v>48</v>
      </c>
      <c r="AX45" s="4">
        <v>35</v>
      </c>
      <c r="AY45" s="4">
        <v>21</v>
      </c>
      <c r="AZ45" s="4">
        <v>24</v>
      </c>
      <c r="BA45" s="4">
        <v>43</v>
      </c>
      <c r="BB45" s="4">
        <v>25</v>
      </c>
      <c r="BC45" s="4">
        <v>60</v>
      </c>
      <c r="BD45" s="4">
        <v>52</v>
      </c>
      <c r="BE45" s="4">
        <v>58</v>
      </c>
      <c r="BF45" s="4">
        <v>36</v>
      </c>
      <c r="BG45" s="4">
        <v>42</v>
      </c>
      <c r="BH45" s="4">
        <v>57</v>
      </c>
      <c r="BI45" s="4">
        <v>23</v>
      </c>
      <c r="BJ45" s="4">
        <v>50</v>
      </c>
      <c r="BK45" s="4">
        <v>30</v>
      </c>
      <c r="BL45" s="4">
        <v>22</v>
      </c>
      <c r="BM45" s="4">
        <v>37</v>
      </c>
      <c r="BN45" s="4">
        <v>0</v>
      </c>
      <c r="BO45" s="4">
        <v>0</v>
      </c>
      <c r="BP45" s="4">
        <v>0</v>
      </c>
      <c r="BQ45" s="4">
        <v>0</v>
      </c>
      <c r="BV45" s="34" t="s">
        <v>51</v>
      </c>
      <c r="BW45" s="67"/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  <c r="CW45" s="68"/>
      <c r="CX45" s="68"/>
      <c r="CY45" s="68"/>
      <c r="CZ45" s="68"/>
      <c r="DA45" s="68"/>
      <c r="DB45" s="68"/>
      <c r="DC45" s="68"/>
      <c r="DD45" s="68"/>
      <c r="DE45" s="68"/>
      <c r="DF45" s="68"/>
      <c r="DG45" s="68"/>
      <c r="DH45" s="68"/>
      <c r="DI45" s="68"/>
      <c r="DJ45" s="68"/>
      <c r="DK45" s="68"/>
      <c r="DL45" s="68"/>
      <c r="DM45" s="68"/>
      <c r="DN45" s="68"/>
      <c r="DO45" s="68"/>
      <c r="DP45" s="68"/>
      <c r="DQ45" s="68"/>
      <c r="DR45" s="6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9"/>
      <c r="EP45" s="34" t="s">
        <v>51</v>
      </c>
      <c r="EQ45" s="73">
        <v>48</v>
      </c>
      <c r="ER45" s="69">
        <v>47</v>
      </c>
      <c r="ES45" s="69">
        <v>46</v>
      </c>
      <c r="ET45" s="69">
        <v>45</v>
      </c>
      <c r="EU45" s="69">
        <v>44</v>
      </c>
      <c r="EV45" s="69">
        <v>43</v>
      </c>
      <c r="EW45" s="69">
        <v>42</v>
      </c>
      <c r="EX45" s="69">
        <v>41</v>
      </c>
      <c r="EY45" s="69">
        <v>40</v>
      </c>
      <c r="EZ45" s="69">
        <v>39</v>
      </c>
      <c r="FA45" s="69">
        <v>38</v>
      </c>
      <c r="FB45" s="69">
        <v>37</v>
      </c>
      <c r="FC45" s="69">
        <v>36</v>
      </c>
      <c r="FD45" s="69">
        <v>35</v>
      </c>
      <c r="FE45" s="69">
        <v>34</v>
      </c>
      <c r="FF45" s="69">
        <v>33</v>
      </c>
      <c r="FG45" s="69">
        <v>32</v>
      </c>
      <c r="FH45" s="69">
        <v>31</v>
      </c>
      <c r="FI45" s="69">
        <v>30</v>
      </c>
      <c r="FJ45" s="69">
        <v>29</v>
      </c>
      <c r="FK45" s="69">
        <v>28</v>
      </c>
      <c r="FL45" s="69">
        <v>27</v>
      </c>
      <c r="FM45" s="69">
        <v>26</v>
      </c>
      <c r="FN45" s="69">
        <v>25</v>
      </c>
      <c r="FO45" s="69">
        <v>24</v>
      </c>
      <c r="FP45" s="69">
        <v>23</v>
      </c>
      <c r="FQ45" s="69">
        <v>22</v>
      </c>
      <c r="FR45" s="69">
        <v>21</v>
      </c>
      <c r="FS45" s="69">
        <v>20</v>
      </c>
      <c r="FT45" s="69">
        <v>19</v>
      </c>
      <c r="FU45" s="69">
        <v>18</v>
      </c>
      <c r="FV45" s="69">
        <v>17</v>
      </c>
      <c r="FW45" s="69">
        <v>16</v>
      </c>
      <c r="FX45" s="69">
        <v>15</v>
      </c>
      <c r="FY45" s="69">
        <v>14</v>
      </c>
      <c r="FZ45" s="69">
        <v>13</v>
      </c>
      <c r="GA45" s="69">
        <v>12</v>
      </c>
      <c r="GB45" s="69">
        <v>11</v>
      </c>
      <c r="GC45" s="69">
        <v>10</v>
      </c>
      <c r="GD45" s="69">
        <v>9</v>
      </c>
      <c r="GE45" s="69">
        <v>8</v>
      </c>
      <c r="GF45" s="69">
        <v>7</v>
      </c>
      <c r="GG45" s="69">
        <v>6</v>
      </c>
      <c r="GH45" s="69">
        <v>5</v>
      </c>
      <c r="GI45" s="69">
        <v>4</v>
      </c>
      <c r="GJ45" s="69">
        <v>3</v>
      </c>
      <c r="GK45" s="69">
        <v>2</v>
      </c>
      <c r="GL45" s="69">
        <v>1</v>
      </c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9"/>
    </row>
    <row r="46" spans="4:210" ht="16.5" thickTop="1" thickBot="1" x14ac:dyDescent="0.55000000000000004">
      <c r="D46" s="101"/>
      <c r="E46" s="99"/>
      <c r="F46" s="4">
        <v>12</v>
      </c>
      <c r="G46" s="4">
        <v>13</v>
      </c>
      <c r="H46" s="4">
        <v>3</v>
      </c>
      <c r="I46" s="4">
        <v>10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V46" s="33" t="s">
        <v>48</v>
      </c>
      <c r="BW46" s="70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85"/>
      <c r="EP46" s="33" t="s">
        <v>48</v>
      </c>
      <c r="EQ46" s="81">
        <v>1</v>
      </c>
      <c r="ER46" s="82">
        <v>2</v>
      </c>
      <c r="ES46" s="82">
        <v>3</v>
      </c>
      <c r="ET46" s="82">
        <v>4</v>
      </c>
      <c r="EU46" s="82">
        <v>5</v>
      </c>
      <c r="EV46" s="82">
        <v>6</v>
      </c>
      <c r="EW46" s="82">
        <v>7</v>
      </c>
      <c r="EX46" s="82">
        <v>8</v>
      </c>
      <c r="EY46" s="82">
        <v>9</v>
      </c>
      <c r="EZ46" s="82">
        <v>10</v>
      </c>
      <c r="FA46" s="82">
        <v>11</v>
      </c>
      <c r="FB46" s="82">
        <v>12</v>
      </c>
      <c r="FC46" s="82">
        <v>13</v>
      </c>
      <c r="FD46" s="82">
        <v>14</v>
      </c>
      <c r="FE46" s="82">
        <v>15</v>
      </c>
      <c r="FF46" s="82">
        <v>16</v>
      </c>
      <c r="FG46" s="82">
        <v>17</v>
      </c>
      <c r="FH46" s="82">
        <v>18</v>
      </c>
      <c r="FI46" s="82">
        <v>19</v>
      </c>
      <c r="FJ46" s="82">
        <v>20</v>
      </c>
      <c r="FK46" s="82">
        <v>21</v>
      </c>
      <c r="FL46" s="82">
        <v>22</v>
      </c>
      <c r="FM46" s="82">
        <v>23</v>
      </c>
      <c r="FN46" s="82">
        <v>24</v>
      </c>
      <c r="FO46" s="82">
        <v>25</v>
      </c>
      <c r="FP46" s="82">
        <v>26</v>
      </c>
      <c r="FQ46" s="82">
        <v>27</v>
      </c>
      <c r="FR46" s="82">
        <v>28</v>
      </c>
      <c r="FS46" s="82">
        <v>29</v>
      </c>
      <c r="FT46" s="82">
        <v>30</v>
      </c>
      <c r="FU46" s="82">
        <v>31</v>
      </c>
      <c r="FV46" s="82">
        <v>32</v>
      </c>
      <c r="FW46" s="82">
        <v>33</v>
      </c>
      <c r="FX46" s="82">
        <v>34</v>
      </c>
      <c r="FY46" s="82">
        <v>35</v>
      </c>
      <c r="FZ46" s="82">
        <v>36</v>
      </c>
      <c r="GA46" s="82">
        <v>37</v>
      </c>
      <c r="GB46" s="82">
        <v>38</v>
      </c>
      <c r="GC46" s="82">
        <v>39</v>
      </c>
      <c r="GD46" s="82">
        <v>40</v>
      </c>
      <c r="GE46" s="82">
        <v>41</v>
      </c>
      <c r="GF46" s="82">
        <v>42</v>
      </c>
      <c r="GG46" s="82">
        <v>43</v>
      </c>
      <c r="GH46" s="82">
        <v>44</v>
      </c>
      <c r="GI46" s="82">
        <v>45</v>
      </c>
      <c r="GJ46" s="82">
        <v>46</v>
      </c>
      <c r="GK46" s="82">
        <v>47</v>
      </c>
      <c r="GL46" s="82">
        <v>48</v>
      </c>
      <c r="GM46" s="82">
        <v>49</v>
      </c>
      <c r="GN46" s="82">
        <v>50</v>
      </c>
      <c r="GO46" s="82">
        <v>51</v>
      </c>
      <c r="GP46" s="82">
        <v>52</v>
      </c>
      <c r="GQ46" s="82">
        <v>53</v>
      </c>
      <c r="GR46" s="82">
        <v>54</v>
      </c>
      <c r="GS46" s="82">
        <v>55</v>
      </c>
      <c r="GT46" s="82">
        <v>56</v>
      </c>
      <c r="GU46" s="82">
        <v>57</v>
      </c>
      <c r="GV46" s="82">
        <v>58</v>
      </c>
      <c r="GW46" s="82">
        <v>59</v>
      </c>
      <c r="GX46" s="82">
        <v>60</v>
      </c>
      <c r="GY46" s="82">
        <v>61</v>
      </c>
      <c r="GZ46" s="82">
        <v>62</v>
      </c>
      <c r="HA46" s="82">
        <v>63</v>
      </c>
      <c r="HB46" s="83">
        <v>64</v>
      </c>
    </row>
    <row r="47" spans="4:210" ht="16.149999999999999" thickBot="1" x14ac:dyDescent="0.55000000000000004">
      <c r="D47" s="100"/>
      <c r="E47" s="98" t="s">
        <v>13</v>
      </c>
      <c r="F47" s="4">
        <v>47</v>
      </c>
      <c r="G47" s="4">
        <v>59</v>
      </c>
      <c r="H47" s="4">
        <v>38</v>
      </c>
      <c r="I47" s="4">
        <v>1</v>
      </c>
      <c r="J47" s="4">
        <v>55</v>
      </c>
      <c r="K47" s="4">
        <v>2</v>
      </c>
      <c r="L47" s="4">
        <v>17</v>
      </c>
      <c r="M47" s="4">
        <v>27</v>
      </c>
      <c r="N47" s="4">
        <v>16</v>
      </c>
      <c r="O47" s="4">
        <v>49</v>
      </c>
      <c r="P47" s="4">
        <v>6</v>
      </c>
      <c r="Q47" s="4">
        <v>26</v>
      </c>
      <c r="R47" s="4">
        <v>53</v>
      </c>
      <c r="S47" s="4">
        <v>54</v>
      </c>
      <c r="T47" s="4">
        <v>61</v>
      </c>
      <c r="U47" s="4">
        <v>18</v>
      </c>
      <c r="V47" s="4">
        <v>45</v>
      </c>
      <c r="W47" s="4">
        <v>31</v>
      </c>
      <c r="X47" s="4">
        <v>41</v>
      </c>
      <c r="Y47" s="4">
        <v>33</v>
      </c>
      <c r="Z47" s="4">
        <v>7</v>
      </c>
      <c r="AA47" s="4">
        <v>8</v>
      </c>
      <c r="AB47" s="4">
        <v>15</v>
      </c>
      <c r="AC47" s="4">
        <v>40</v>
      </c>
      <c r="AD47" s="4">
        <v>11</v>
      </c>
      <c r="AE47" s="4">
        <v>56</v>
      </c>
      <c r="AF47" s="4">
        <v>19</v>
      </c>
      <c r="AG47" s="4">
        <v>14</v>
      </c>
      <c r="AH47" s="4">
        <v>44</v>
      </c>
      <c r="AI47" s="4">
        <v>51</v>
      </c>
      <c r="AJ47" s="4">
        <v>20</v>
      </c>
      <c r="AK47" s="4">
        <v>32</v>
      </c>
      <c r="AL47" s="4">
        <v>64</v>
      </c>
      <c r="AM47" s="4">
        <v>34</v>
      </c>
      <c r="AN47" s="4">
        <v>29</v>
      </c>
      <c r="AO47" s="4">
        <v>4</v>
      </c>
      <c r="AP47" s="4">
        <v>28</v>
      </c>
      <c r="AQ47" s="4">
        <v>9</v>
      </c>
      <c r="AR47" s="4">
        <v>62</v>
      </c>
      <c r="AS47" s="4">
        <v>46</v>
      </c>
      <c r="AT47" s="4">
        <v>63</v>
      </c>
      <c r="AU47" s="4">
        <v>39</v>
      </c>
      <c r="AV47" s="4">
        <v>48</v>
      </c>
      <c r="AW47" s="4">
        <v>35</v>
      </c>
      <c r="AX47" s="4">
        <v>21</v>
      </c>
      <c r="AY47" s="4">
        <v>24</v>
      </c>
      <c r="AZ47" s="4">
        <v>43</v>
      </c>
      <c r="BA47" s="4">
        <v>25</v>
      </c>
      <c r="BB47" s="4">
        <v>60</v>
      </c>
      <c r="BC47" s="4">
        <v>52</v>
      </c>
      <c r="BD47" s="4">
        <v>58</v>
      </c>
      <c r="BE47" s="4">
        <v>36</v>
      </c>
      <c r="BF47" s="4">
        <v>42</v>
      </c>
      <c r="BG47" s="4">
        <v>57</v>
      </c>
      <c r="BH47" s="4">
        <v>23</v>
      </c>
      <c r="BI47" s="4">
        <v>50</v>
      </c>
      <c r="BJ47" s="4">
        <v>30</v>
      </c>
      <c r="BK47" s="4">
        <v>22</v>
      </c>
      <c r="BL47" s="4">
        <v>37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V47" s="34" t="s">
        <v>51</v>
      </c>
      <c r="BW47" s="67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  <c r="CI47" s="68"/>
      <c r="CJ47" s="68"/>
      <c r="CK47" s="68"/>
      <c r="CL47" s="68"/>
      <c r="CM47" s="68"/>
      <c r="CN47" s="68"/>
      <c r="CO47" s="68"/>
      <c r="CP47" s="68"/>
      <c r="CQ47" s="68"/>
      <c r="CR47" s="68"/>
      <c r="CS47" s="68"/>
      <c r="CT47" s="68"/>
      <c r="CU47" s="68"/>
      <c r="CV47" s="68"/>
      <c r="CW47" s="68"/>
      <c r="CX47" s="68"/>
      <c r="CY47" s="68"/>
      <c r="CZ47" s="68"/>
      <c r="DA47" s="68"/>
      <c r="DB47" s="68"/>
      <c r="DC47" s="68"/>
      <c r="DD47" s="68"/>
      <c r="DE47" s="68"/>
      <c r="DF47" s="68"/>
      <c r="DG47" s="68"/>
      <c r="DH47" s="68"/>
      <c r="DI47" s="68"/>
      <c r="DJ47" s="68"/>
      <c r="DK47" s="68"/>
      <c r="DL47" s="68"/>
      <c r="DM47" s="68"/>
      <c r="DN47" s="68"/>
      <c r="DO47" s="68"/>
      <c r="DP47" s="68"/>
      <c r="DQ47" s="68"/>
      <c r="DR47" s="68"/>
      <c r="DS47" s="68"/>
      <c r="DT47" s="68"/>
      <c r="DU47" s="68"/>
      <c r="DV47" s="68"/>
      <c r="DW47" s="68"/>
      <c r="DX47" s="68"/>
      <c r="DY47" s="68"/>
      <c r="DZ47" s="68"/>
      <c r="EA47" s="68"/>
      <c r="EB47" s="68"/>
      <c r="EC47" s="68"/>
      <c r="ED47" s="68"/>
      <c r="EE47" s="68"/>
      <c r="EF47" s="68"/>
      <c r="EG47" s="68"/>
      <c r="EH47" s="80"/>
      <c r="EP47" s="34" t="s">
        <v>51</v>
      </c>
      <c r="EQ47" s="67">
        <v>0</v>
      </c>
      <c r="ER47" s="68">
        <v>0</v>
      </c>
      <c r="ES47" s="68">
        <v>0</v>
      </c>
      <c r="ET47" s="68">
        <v>0</v>
      </c>
      <c r="EU47" s="68">
        <v>0</v>
      </c>
      <c r="EV47" s="68">
        <v>0</v>
      </c>
      <c r="EW47" s="68">
        <v>0</v>
      </c>
      <c r="EX47" s="68">
        <v>0</v>
      </c>
      <c r="EY47" s="68">
        <v>0</v>
      </c>
      <c r="EZ47" s="68">
        <v>0</v>
      </c>
      <c r="FA47" s="68">
        <v>0</v>
      </c>
      <c r="FB47" s="68">
        <v>0</v>
      </c>
      <c r="FC47" s="68">
        <v>0</v>
      </c>
      <c r="FD47" s="68">
        <v>0</v>
      </c>
      <c r="FE47" s="68">
        <v>0</v>
      </c>
      <c r="FF47" s="68">
        <v>0</v>
      </c>
      <c r="FG47" s="68">
        <v>0</v>
      </c>
      <c r="FH47" s="68">
        <v>0</v>
      </c>
      <c r="FI47" s="68">
        <v>0</v>
      </c>
      <c r="FJ47" s="68">
        <v>0</v>
      </c>
      <c r="FK47" s="68">
        <v>0</v>
      </c>
      <c r="FL47" s="68">
        <v>0</v>
      </c>
      <c r="FM47" s="68">
        <v>0</v>
      </c>
      <c r="FN47" s="68">
        <v>0</v>
      </c>
      <c r="FO47" s="68">
        <v>0</v>
      </c>
      <c r="FP47" s="68">
        <v>0</v>
      </c>
      <c r="FQ47" s="68">
        <v>0</v>
      </c>
      <c r="FR47" s="68">
        <v>0</v>
      </c>
      <c r="FS47" s="68">
        <v>0</v>
      </c>
      <c r="FT47" s="68">
        <v>0</v>
      </c>
      <c r="FU47" s="68">
        <v>0</v>
      </c>
      <c r="FV47" s="68">
        <v>0</v>
      </c>
      <c r="FW47" s="68">
        <v>0</v>
      </c>
      <c r="FX47" s="68">
        <v>0</v>
      </c>
      <c r="FY47" s="68">
        <v>0</v>
      </c>
      <c r="FZ47" s="68">
        <v>0</v>
      </c>
      <c r="GA47" s="68">
        <v>0</v>
      </c>
      <c r="GB47" s="68">
        <v>0</v>
      </c>
      <c r="GC47" s="68">
        <v>0</v>
      </c>
      <c r="GD47" s="68">
        <v>0</v>
      </c>
      <c r="GE47" s="68">
        <v>0</v>
      </c>
      <c r="GF47" s="68">
        <v>0</v>
      </c>
      <c r="GG47" s="68">
        <v>0</v>
      </c>
      <c r="GH47" s="68">
        <v>0</v>
      </c>
      <c r="GI47" s="68">
        <v>0</v>
      </c>
      <c r="GJ47" s="68">
        <v>0</v>
      </c>
      <c r="GK47" s="68">
        <v>0</v>
      </c>
      <c r="GL47" s="68">
        <v>0</v>
      </c>
      <c r="GM47" s="68">
        <v>0</v>
      </c>
      <c r="GN47" s="68">
        <v>0</v>
      </c>
      <c r="GO47" s="68">
        <v>0</v>
      </c>
      <c r="GP47" s="68">
        <v>0</v>
      </c>
      <c r="GQ47" s="68">
        <v>0</v>
      </c>
      <c r="GR47" s="68">
        <v>0</v>
      </c>
      <c r="GS47" s="68">
        <v>0</v>
      </c>
      <c r="GT47" s="68">
        <v>0</v>
      </c>
      <c r="GU47" s="68">
        <v>0</v>
      </c>
      <c r="GV47" s="68">
        <v>0</v>
      </c>
      <c r="GW47" s="68">
        <v>0</v>
      </c>
      <c r="GX47" s="68">
        <v>0</v>
      </c>
      <c r="GY47" s="68">
        <v>0</v>
      </c>
      <c r="GZ47" s="68">
        <v>0</v>
      </c>
      <c r="HA47" s="68">
        <v>0</v>
      </c>
      <c r="HB47" s="80">
        <v>0</v>
      </c>
    </row>
    <row r="48" spans="4:210" ht="16.5" thickTop="1" thickBot="1" x14ac:dyDescent="0.55000000000000004">
      <c r="D48" s="101"/>
      <c r="E48" s="99"/>
      <c r="F48" s="4">
        <v>5</v>
      </c>
      <c r="G48" s="4">
        <v>12</v>
      </c>
      <c r="H48" s="4">
        <v>13</v>
      </c>
      <c r="I48" s="4">
        <v>3</v>
      </c>
      <c r="J48" s="4">
        <v>10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V48" s="33" t="s">
        <v>48</v>
      </c>
      <c r="BW48" s="31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7"/>
    </row>
    <row r="49" spans="4:138" ht="16.149999999999999" thickBot="1" x14ac:dyDescent="0.55000000000000004">
      <c r="D49" s="100"/>
      <c r="E49" s="98" t="s">
        <v>12</v>
      </c>
      <c r="F49" s="4">
        <v>59</v>
      </c>
      <c r="G49" s="4">
        <v>38</v>
      </c>
      <c r="H49" s="4">
        <v>1</v>
      </c>
      <c r="I49" s="4">
        <v>55</v>
      </c>
      <c r="J49" s="4">
        <v>2</v>
      </c>
      <c r="K49" s="4">
        <v>17</v>
      </c>
      <c r="L49" s="4">
        <v>27</v>
      </c>
      <c r="M49" s="4">
        <v>16</v>
      </c>
      <c r="N49" s="4">
        <v>49</v>
      </c>
      <c r="O49" s="4">
        <v>6</v>
      </c>
      <c r="P49" s="4">
        <v>26</v>
      </c>
      <c r="Q49" s="4">
        <v>53</v>
      </c>
      <c r="R49" s="4">
        <v>54</v>
      </c>
      <c r="S49" s="4">
        <v>61</v>
      </c>
      <c r="T49" s="4">
        <v>18</v>
      </c>
      <c r="U49" s="4">
        <v>45</v>
      </c>
      <c r="V49" s="4">
        <v>31</v>
      </c>
      <c r="W49" s="4">
        <v>41</v>
      </c>
      <c r="X49" s="4">
        <v>33</v>
      </c>
      <c r="Y49" s="4">
        <v>7</v>
      </c>
      <c r="Z49" s="4">
        <v>8</v>
      </c>
      <c r="AA49" s="4">
        <v>15</v>
      </c>
      <c r="AB49" s="4">
        <v>40</v>
      </c>
      <c r="AC49" s="4">
        <v>11</v>
      </c>
      <c r="AD49" s="4">
        <v>56</v>
      </c>
      <c r="AE49" s="4">
        <v>19</v>
      </c>
      <c r="AF49" s="4">
        <v>14</v>
      </c>
      <c r="AG49" s="4">
        <v>44</v>
      </c>
      <c r="AH49" s="4">
        <v>51</v>
      </c>
      <c r="AI49" s="4">
        <v>20</v>
      </c>
      <c r="AJ49" s="4">
        <v>32</v>
      </c>
      <c r="AK49" s="4">
        <v>64</v>
      </c>
      <c r="AL49" s="4">
        <v>34</v>
      </c>
      <c r="AM49" s="4">
        <v>29</v>
      </c>
      <c r="AN49" s="4">
        <v>4</v>
      </c>
      <c r="AO49" s="4">
        <v>28</v>
      </c>
      <c r="AP49" s="4">
        <v>9</v>
      </c>
      <c r="AQ49" s="4">
        <v>62</v>
      </c>
      <c r="AR49" s="4">
        <v>46</v>
      </c>
      <c r="AS49" s="4">
        <v>63</v>
      </c>
      <c r="AT49" s="4">
        <v>39</v>
      </c>
      <c r="AU49" s="4">
        <v>48</v>
      </c>
      <c r="AV49" s="4">
        <v>35</v>
      </c>
      <c r="AW49" s="4">
        <v>21</v>
      </c>
      <c r="AX49" s="4">
        <v>24</v>
      </c>
      <c r="AY49" s="4">
        <v>43</v>
      </c>
      <c r="AZ49" s="4">
        <v>25</v>
      </c>
      <c r="BA49" s="4">
        <v>60</v>
      </c>
      <c r="BB49" s="4">
        <v>52</v>
      </c>
      <c r="BC49" s="4">
        <v>58</v>
      </c>
      <c r="BD49" s="4">
        <v>36</v>
      </c>
      <c r="BE49" s="4">
        <v>42</v>
      </c>
      <c r="BF49" s="4">
        <v>57</v>
      </c>
      <c r="BG49" s="4">
        <v>23</v>
      </c>
      <c r="BH49" s="4">
        <v>50</v>
      </c>
      <c r="BI49" s="4">
        <v>30</v>
      </c>
      <c r="BJ49" s="4">
        <v>22</v>
      </c>
      <c r="BK49" s="4">
        <v>37</v>
      </c>
      <c r="BL49" s="4">
        <v>47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V49" s="34" t="s">
        <v>51</v>
      </c>
      <c r="BW49" s="32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9"/>
    </row>
    <row r="50" spans="4:138" ht="16.5" thickTop="1" thickBot="1" x14ac:dyDescent="0.55000000000000004">
      <c r="D50" s="101"/>
      <c r="E50" s="99"/>
      <c r="F50" s="4">
        <v>5</v>
      </c>
      <c r="G50" s="4">
        <v>12</v>
      </c>
      <c r="H50" s="4">
        <v>13</v>
      </c>
      <c r="I50" s="4">
        <v>3</v>
      </c>
      <c r="J50" s="4">
        <v>10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V50" s="33" t="s">
        <v>48</v>
      </c>
      <c r="BW50" s="31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7"/>
    </row>
    <row r="51" spans="4:138" ht="16.149999999999999" thickBot="1" x14ac:dyDescent="0.55000000000000004">
      <c r="D51" s="100"/>
      <c r="E51" s="98" t="s">
        <v>12</v>
      </c>
      <c r="F51" s="4">
        <v>38</v>
      </c>
      <c r="G51" s="4">
        <v>1</v>
      </c>
      <c r="H51" s="4">
        <v>55</v>
      </c>
      <c r="I51" s="4">
        <v>2</v>
      </c>
      <c r="J51" s="4">
        <v>17</v>
      </c>
      <c r="K51" s="4">
        <v>27</v>
      </c>
      <c r="L51" s="4">
        <v>16</v>
      </c>
      <c r="M51" s="4">
        <v>49</v>
      </c>
      <c r="N51" s="4">
        <v>6</v>
      </c>
      <c r="O51" s="4">
        <v>26</v>
      </c>
      <c r="P51" s="4">
        <v>53</v>
      </c>
      <c r="Q51" s="4">
        <v>54</v>
      </c>
      <c r="R51" s="4">
        <v>61</v>
      </c>
      <c r="S51" s="4">
        <v>18</v>
      </c>
      <c r="T51" s="4">
        <v>45</v>
      </c>
      <c r="U51" s="4">
        <v>31</v>
      </c>
      <c r="V51" s="4">
        <v>41</v>
      </c>
      <c r="W51" s="4">
        <v>33</v>
      </c>
      <c r="X51" s="4">
        <v>7</v>
      </c>
      <c r="Y51" s="4">
        <v>8</v>
      </c>
      <c r="Z51" s="4">
        <v>15</v>
      </c>
      <c r="AA51" s="4">
        <v>40</v>
      </c>
      <c r="AB51" s="4">
        <v>11</v>
      </c>
      <c r="AC51" s="4">
        <v>56</v>
      </c>
      <c r="AD51" s="4">
        <v>19</v>
      </c>
      <c r="AE51" s="4">
        <v>14</v>
      </c>
      <c r="AF51" s="4">
        <v>44</v>
      </c>
      <c r="AG51" s="4">
        <v>51</v>
      </c>
      <c r="AH51" s="4">
        <v>20</v>
      </c>
      <c r="AI51" s="4">
        <v>32</v>
      </c>
      <c r="AJ51" s="4">
        <v>64</v>
      </c>
      <c r="AK51" s="4">
        <v>34</v>
      </c>
      <c r="AL51" s="4">
        <v>29</v>
      </c>
      <c r="AM51" s="4">
        <v>4</v>
      </c>
      <c r="AN51" s="4">
        <v>28</v>
      </c>
      <c r="AO51" s="4">
        <v>9</v>
      </c>
      <c r="AP51" s="4">
        <v>62</v>
      </c>
      <c r="AQ51" s="4">
        <v>46</v>
      </c>
      <c r="AR51" s="4">
        <v>63</v>
      </c>
      <c r="AS51" s="4">
        <v>39</v>
      </c>
      <c r="AT51" s="4">
        <v>48</v>
      </c>
      <c r="AU51" s="4">
        <v>35</v>
      </c>
      <c r="AV51" s="4">
        <v>21</v>
      </c>
      <c r="AW51" s="4">
        <v>24</v>
      </c>
      <c r="AX51" s="4">
        <v>43</v>
      </c>
      <c r="AY51" s="4">
        <v>25</v>
      </c>
      <c r="AZ51" s="4">
        <v>60</v>
      </c>
      <c r="BA51" s="4">
        <v>52</v>
      </c>
      <c r="BB51" s="4">
        <v>58</v>
      </c>
      <c r="BC51" s="4">
        <v>36</v>
      </c>
      <c r="BD51" s="4">
        <v>42</v>
      </c>
      <c r="BE51" s="4">
        <v>57</v>
      </c>
      <c r="BF51" s="4">
        <v>23</v>
      </c>
      <c r="BG51" s="4">
        <v>50</v>
      </c>
      <c r="BH51" s="4">
        <v>30</v>
      </c>
      <c r="BI51" s="4">
        <v>22</v>
      </c>
      <c r="BJ51" s="4">
        <v>37</v>
      </c>
      <c r="BK51" s="4">
        <v>47</v>
      </c>
      <c r="BL51" s="4">
        <v>59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V51" s="34" t="s">
        <v>51</v>
      </c>
      <c r="BW51" s="32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9"/>
    </row>
    <row r="52" spans="4:138" ht="16.5" thickTop="1" thickBot="1" x14ac:dyDescent="0.55000000000000004">
      <c r="D52" s="101"/>
      <c r="E52" s="99"/>
      <c r="F52" s="4">
        <v>5</v>
      </c>
      <c r="G52" s="4">
        <v>12</v>
      </c>
      <c r="H52" s="4">
        <v>13</v>
      </c>
      <c r="I52" s="4">
        <v>3</v>
      </c>
      <c r="J52" s="4">
        <v>10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0</v>
      </c>
      <c r="BB52" s="4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V52" s="33" t="s">
        <v>48</v>
      </c>
      <c r="BW52" s="31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7"/>
    </row>
    <row r="53" spans="4:138" ht="16.149999999999999" thickBot="1" x14ac:dyDescent="0.55000000000000004">
      <c r="D53" s="100"/>
      <c r="E53" s="98" t="s">
        <v>12</v>
      </c>
      <c r="F53" s="4">
        <v>1</v>
      </c>
      <c r="G53" s="4">
        <v>55</v>
      </c>
      <c r="H53" s="4">
        <v>2</v>
      </c>
      <c r="I53" s="4">
        <v>17</v>
      </c>
      <c r="J53" s="4">
        <v>27</v>
      </c>
      <c r="K53" s="4">
        <v>16</v>
      </c>
      <c r="L53" s="4">
        <v>49</v>
      </c>
      <c r="M53" s="4">
        <v>6</v>
      </c>
      <c r="N53" s="4">
        <v>26</v>
      </c>
      <c r="O53" s="4">
        <v>53</v>
      </c>
      <c r="P53" s="4">
        <v>54</v>
      </c>
      <c r="Q53" s="4">
        <v>61</v>
      </c>
      <c r="R53" s="4">
        <v>18</v>
      </c>
      <c r="S53" s="4">
        <v>45</v>
      </c>
      <c r="T53" s="4">
        <v>31</v>
      </c>
      <c r="U53" s="4">
        <v>41</v>
      </c>
      <c r="V53" s="4">
        <v>33</v>
      </c>
      <c r="W53" s="4">
        <v>7</v>
      </c>
      <c r="X53" s="4">
        <v>8</v>
      </c>
      <c r="Y53" s="4">
        <v>15</v>
      </c>
      <c r="Z53" s="4">
        <v>40</v>
      </c>
      <c r="AA53" s="4">
        <v>11</v>
      </c>
      <c r="AB53" s="4">
        <v>56</v>
      </c>
      <c r="AC53" s="4">
        <v>19</v>
      </c>
      <c r="AD53" s="4">
        <v>14</v>
      </c>
      <c r="AE53" s="4">
        <v>44</v>
      </c>
      <c r="AF53" s="4">
        <v>51</v>
      </c>
      <c r="AG53" s="4">
        <v>20</v>
      </c>
      <c r="AH53" s="4">
        <v>32</v>
      </c>
      <c r="AI53" s="4">
        <v>64</v>
      </c>
      <c r="AJ53" s="4">
        <v>34</v>
      </c>
      <c r="AK53" s="4">
        <v>29</v>
      </c>
      <c r="AL53" s="4">
        <v>4</v>
      </c>
      <c r="AM53" s="4">
        <v>28</v>
      </c>
      <c r="AN53" s="4">
        <v>9</v>
      </c>
      <c r="AO53" s="4">
        <v>62</v>
      </c>
      <c r="AP53" s="4">
        <v>46</v>
      </c>
      <c r="AQ53" s="4">
        <v>63</v>
      </c>
      <c r="AR53" s="4">
        <v>39</v>
      </c>
      <c r="AS53" s="4">
        <v>48</v>
      </c>
      <c r="AT53" s="4">
        <v>35</v>
      </c>
      <c r="AU53" s="4">
        <v>21</v>
      </c>
      <c r="AV53" s="4">
        <v>24</v>
      </c>
      <c r="AW53" s="4">
        <v>43</v>
      </c>
      <c r="AX53" s="4">
        <v>25</v>
      </c>
      <c r="AY53" s="4">
        <v>60</v>
      </c>
      <c r="AZ53" s="4">
        <v>52</v>
      </c>
      <c r="BA53" s="4">
        <v>58</v>
      </c>
      <c r="BB53" s="4">
        <v>36</v>
      </c>
      <c r="BC53" s="4">
        <v>42</v>
      </c>
      <c r="BD53" s="4">
        <v>57</v>
      </c>
      <c r="BE53" s="4">
        <v>23</v>
      </c>
      <c r="BF53" s="4">
        <v>50</v>
      </c>
      <c r="BG53" s="4">
        <v>30</v>
      </c>
      <c r="BH53" s="4">
        <v>22</v>
      </c>
      <c r="BI53" s="4">
        <v>37</v>
      </c>
      <c r="BJ53" s="4">
        <v>47</v>
      </c>
      <c r="BK53" s="4">
        <v>59</v>
      </c>
      <c r="BL53" s="4">
        <v>38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V53" s="34" t="s">
        <v>51</v>
      </c>
      <c r="BW53" s="32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9"/>
    </row>
    <row r="54" spans="4:138" ht="16.5" thickTop="1" thickBot="1" x14ac:dyDescent="0.55000000000000004">
      <c r="D54" s="101"/>
      <c r="E54" s="99"/>
      <c r="F54" s="4">
        <v>5</v>
      </c>
      <c r="G54" s="4">
        <v>12</v>
      </c>
      <c r="H54" s="4">
        <v>13</v>
      </c>
      <c r="I54" s="4">
        <v>3</v>
      </c>
      <c r="J54" s="4">
        <v>10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V54" s="33" t="s">
        <v>48</v>
      </c>
      <c r="BW54" s="31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7"/>
    </row>
    <row r="55" spans="4:138" ht="16.149999999999999" thickBot="1" x14ac:dyDescent="0.55000000000000004">
      <c r="D55" s="100"/>
      <c r="E55" s="98" t="s">
        <v>13</v>
      </c>
      <c r="F55" s="4">
        <v>55</v>
      </c>
      <c r="G55" s="4">
        <v>2</v>
      </c>
      <c r="H55" s="4">
        <v>17</v>
      </c>
      <c r="I55" s="4">
        <v>27</v>
      </c>
      <c r="J55" s="4">
        <v>16</v>
      </c>
      <c r="K55" s="4">
        <v>49</v>
      </c>
      <c r="L55" s="4">
        <v>6</v>
      </c>
      <c r="M55" s="4">
        <v>26</v>
      </c>
      <c r="N55" s="4">
        <v>53</v>
      </c>
      <c r="O55" s="4">
        <v>54</v>
      </c>
      <c r="P55" s="4">
        <v>61</v>
      </c>
      <c r="Q55" s="4">
        <v>18</v>
      </c>
      <c r="R55" s="4">
        <v>45</v>
      </c>
      <c r="S55" s="4">
        <v>31</v>
      </c>
      <c r="T55" s="4">
        <v>41</v>
      </c>
      <c r="U55" s="4">
        <v>33</v>
      </c>
      <c r="V55" s="4">
        <v>7</v>
      </c>
      <c r="W55" s="4">
        <v>8</v>
      </c>
      <c r="X55" s="4">
        <v>15</v>
      </c>
      <c r="Y55" s="4">
        <v>40</v>
      </c>
      <c r="Z55" s="4">
        <v>11</v>
      </c>
      <c r="AA55" s="4">
        <v>56</v>
      </c>
      <c r="AB55" s="4">
        <v>19</v>
      </c>
      <c r="AC55" s="4">
        <v>14</v>
      </c>
      <c r="AD55" s="4">
        <v>44</v>
      </c>
      <c r="AE55" s="4">
        <v>51</v>
      </c>
      <c r="AF55" s="4">
        <v>20</v>
      </c>
      <c r="AG55" s="4">
        <v>32</v>
      </c>
      <c r="AH55" s="4">
        <v>64</v>
      </c>
      <c r="AI55" s="4">
        <v>34</v>
      </c>
      <c r="AJ55" s="4">
        <v>29</v>
      </c>
      <c r="AK55" s="4">
        <v>4</v>
      </c>
      <c r="AL55" s="4">
        <v>28</v>
      </c>
      <c r="AM55" s="4">
        <v>9</v>
      </c>
      <c r="AN55" s="4">
        <v>62</v>
      </c>
      <c r="AO55" s="4">
        <v>46</v>
      </c>
      <c r="AP55" s="4">
        <v>63</v>
      </c>
      <c r="AQ55" s="4">
        <v>39</v>
      </c>
      <c r="AR55" s="4">
        <v>48</v>
      </c>
      <c r="AS55" s="4">
        <v>35</v>
      </c>
      <c r="AT55" s="4">
        <v>21</v>
      </c>
      <c r="AU55" s="4">
        <v>24</v>
      </c>
      <c r="AV55" s="4">
        <v>43</v>
      </c>
      <c r="AW55" s="4">
        <v>25</v>
      </c>
      <c r="AX55" s="4">
        <v>60</v>
      </c>
      <c r="AY55" s="4">
        <v>52</v>
      </c>
      <c r="AZ55" s="4">
        <v>58</v>
      </c>
      <c r="BA55" s="4">
        <v>36</v>
      </c>
      <c r="BB55" s="4">
        <v>42</v>
      </c>
      <c r="BC55" s="4">
        <v>57</v>
      </c>
      <c r="BD55" s="4">
        <v>23</v>
      </c>
      <c r="BE55" s="4">
        <v>50</v>
      </c>
      <c r="BF55" s="4">
        <v>30</v>
      </c>
      <c r="BG55" s="4">
        <v>22</v>
      </c>
      <c r="BH55" s="4">
        <v>37</v>
      </c>
      <c r="BI55" s="4">
        <v>47</v>
      </c>
      <c r="BJ55" s="4">
        <v>59</v>
      </c>
      <c r="BK55" s="4">
        <v>38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V55" s="34" t="s">
        <v>51</v>
      </c>
      <c r="BW55" s="32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9"/>
    </row>
    <row r="56" spans="4:138" ht="16.5" thickTop="1" thickBot="1" x14ac:dyDescent="0.55000000000000004">
      <c r="D56" s="101"/>
      <c r="E56" s="99"/>
      <c r="F56" s="4">
        <v>1</v>
      </c>
      <c r="G56" s="4">
        <v>5</v>
      </c>
      <c r="H56" s="4">
        <v>12</v>
      </c>
      <c r="I56" s="4">
        <v>13</v>
      </c>
      <c r="J56" s="4">
        <v>3</v>
      </c>
      <c r="K56" s="4">
        <v>10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V56" s="33" t="s">
        <v>48</v>
      </c>
      <c r="BW56" s="31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7"/>
    </row>
    <row r="57" spans="4:138" ht="16.149999999999999" thickBot="1" x14ac:dyDescent="0.55000000000000004">
      <c r="D57" s="100"/>
      <c r="E57" s="98" t="s">
        <v>12</v>
      </c>
      <c r="F57" s="4">
        <v>2</v>
      </c>
      <c r="G57" s="4">
        <v>17</v>
      </c>
      <c r="H57" s="4">
        <v>27</v>
      </c>
      <c r="I57" s="4">
        <v>16</v>
      </c>
      <c r="J57" s="4">
        <v>49</v>
      </c>
      <c r="K57" s="4">
        <v>6</v>
      </c>
      <c r="L57" s="4">
        <v>26</v>
      </c>
      <c r="M57" s="4">
        <v>53</v>
      </c>
      <c r="N57" s="4">
        <v>54</v>
      </c>
      <c r="O57" s="4">
        <v>61</v>
      </c>
      <c r="P57" s="4">
        <v>18</v>
      </c>
      <c r="Q57" s="4">
        <v>45</v>
      </c>
      <c r="R57" s="4">
        <v>31</v>
      </c>
      <c r="S57" s="4">
        <v>41</v>
      </c>
      <c r="T57" s="4">
        <v>33</v>
      </c>
      <c r="U57" s="4">
        <v>7</v>
      </c>
      <c r="V57" s="4">
        <v>8</v>
      </c>
      <c r="W57" s="4">
        <v>15</v>
      </c>
      <c r="X57" s="4">
        <v>40</v>
      </c>
      <c r="Y57" s="4">
        <v>11</v>
      </c>
      <c r="Z57" s="4">
        <v>56</v>
      </c>
      <c r="AA57" s="4">
        <v>19</v>
      </c>
      <c r="AB57" s="4">
        <v>14</v>
      </c>
      <c r="AC57" s="4">
        <v>44</v>
      </c>
      <c r="AD57" s="4">
        <v>51</v>
      </c>
      <c r="AE57" s="4">
        <v>20</v>
      </c>
      <c r="AF57" s="4">
        <v>32</v>
      </c>
      <c r="AG57" s="4">
        <v>64</v>
      </c>
      <c r="AH57" s="4">
        <v>34</v>
      </c>
      <c r="AI57" s="4">
        <v>29</v>
      </c>
      <c r="AJ57" s="4">
        <v>4</v>
      </c>
      <c r="AK57" s="4">
        <v>28</v>
      </c>
      <c r="AL57" s="4">
        <v>9</v>
      </c>
      <c r="AM57" s="4">
        <v>62</v>
      </c>
      <c r="AN57" s="4">
        <v>46</v>
      </c>
      <c r="AO57" s="4">
        <v>63</v>
      </c>
      <c r="AP57" s="4">
        <v>39</v>
      </c>
      <c r="AQ57" s="4">
        <v>48</v>
      </c>
      <c r="AR57" s="4">
        <v>35</v>
      </c>
      <c r="AS57" s="4">
        <v>21</v>
      </c>
      <c r="AT57" s="4">
        <v>24</v>
      </c>
      <c r="AU57" s="4">
        <v>43</v>
      </c>
      <c r="AV57" s="4">
        <v>25</v>
      </c>
      <c r="AW57" s="4">
        <v>60</v>
      </c>
      <c r="AX57" s="4">
        <v>52</v>
      </c>
      <c r="AY57" s="4">
        <v>58</v>
      </c>
      <c r="AZ57" s="4">
        <v>36</v>
      </c>
      <c r="BA57" s="4">
        <v>42</v>
      </c>
      <c r="BB57" s="4">
        <v>57</v>
      </c>
      <c r="BC57" s="4">
        <v>23</v>
      </c>
      <c r="BD57" s="4">
        <v>50</v>
      </c>
      <c r="BE57" s="4">
        <v>30</v>
      </c>
      <c r="BF57" s="4">
        <v>22</v>
      </c>
      <c r="BG57" s="4">
        <v>37</v>
      </c>
      <c r="BH57" s="4">
        <v>47</v>
      </c>
      <c r="BI57" s="4">
        <v>59</v>
      </c>
      <c r="BJ57" s="4">
        <v>38</v>
      </c>
      <c r="BK57" s="4">
        <v>55</v>
      </c>
      <c r="BL57" s="4">
        <v>0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V57" s="34" t="s">
        <v>51</v>
      </c>
      <c r="BW57" s="32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8"/>
      <c r="DJ57" s="28"/>
      <c r="DK57" s="28"/>
      <c r="DL57" s="28"/>
      <c r="DM57" s="28"/>
      <c r="DN57" s="28"/>
      <c r="DO57" s="28"/>
      <c r="DP57" s="28"/>
      <c r="DQ57" s="28"/>
      <c r="DR57" s="28"/>
      <c r="DS57" s="28"/>
      <c r="DT57" s="28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9"/>
    </row>
    <row r="58" spans="4:138" ht="16.5" thickTop="1" thickBot="1" x14ac:dyDescent="0.55000000000000004">
      <c r="D58" s="101"/>
      <c r="E58" s="99"/>
      <c r="F58" s="4">
        <v>1</v>
      </c>
      <c r="G58" s="4">
        <v>5</v>
      </c>
      <c r="H58" s="4">
        <v>12</v>
      </c>
      <c r="I58" s="4">
        <v>13</v>
      </c>
      <c r="J58" s="4">
        <v>3</v>
      </c>
      <c r="K58" s="4">
        <v>10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0</v>
      </c>
      <c r="AZ58" s="4">
        <v>0</v>
      </c>
      <c r="BA58" s="4">
        <v>0</v>
      </c>
      <c r="BB58" s="4">
        <v>0</v>
      </c>
      <c r="BC58" s="4">
        <v>0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  <c r="BJ58" s="4">
        <v>0</v>
      </c>
      <c r="BK58" s="4">
        <v>0</v>
      </c>
      <c r="BL58" s="4">
        <v>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V58" s="33" t="s">
        <v>48</v>
      </c>
      <c r="BW58" s="31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7"/>
    </row>
    <row r="59" spans="4:138" ht="16.149999999999999" thickBot="1" x14ac:dyDescent="0.55000000000000004">
      <c r="D59" s="100"/>
      <c r="E59" s="98" t="s">
        <v>13</v>
      </c>
      <c r="F59" s="4">
        <v>17</v>
      </c>
      <c r="G59" s="4">
        <v>27</v>
      </c>
      <c r="H59" s="4">
        <v>16</v>
      </c>
      <c r="I59" s="4">
        <v>49</v>
      </c>
      <c r="J59" s="4">
        <v>6</v>
      </c>
      <c r="K59" s="4">
        <v>26</v>
      </c>
      <c r="L59" s="4">
        <v>53</v>
      </c>
      <c r="M59" s="4">
        <v>54</v>
      </c>
      <c r="N59" s="4">
        <v>61</v>
      </c>
      <c r="O59" s="4">
        <v>18</v>
      </c>
      <c r="P59" s="4">
        <v>45</v>
      </c>
      <c r="Q59" s="4">
        <v>31</v>
      </c>
      <c r="R59" s="4">
        <v>41</v>
      </c>
      <c r="S59" s="4">
        <v>33</v>
      </c>
      <c r="T59" s="4">
        <v>7</v>
      </c>
      <c r="U59" s="4">
        <v>8</v>
      </c>
      <c r="V59" s="4">
        <v>15</v>
      </c>
      <c r="W59" s="4">
        <v>40</v>
      </c>
      <c r="X59" s="4">
        <v>11</v>
      </c>
      <c r="Y59" s="4">
        <v>56</v>
      </c>
      <c r="Z59" s="4">
        <v>19</v>
      </c>
      <c r="AA59" s="4">
        <v>14</v>
      </c>
      <c r="AB59" s="4">
        <v>44</v>
      </c>
      <c r="AC59" s="4">
        <v>51</v>
      </c>
      <c r="AD59" s="4">
        <v>20</v>
      </c>
      <c r="AE59" s="4">
        <v>32</v>
      </c>
      <c r="AF59" s="4">
        <v>64</v>
      </c>
      <c r="AG59" s="4">
        <v>34</v>
      </c>
      <c r="AH59" s="4">
        <v>29</v>
      </c>
      <c r="AI59" s="4">
        <v>4</v>
      </c>
      <c r="AJ59" s="4">
        <v>28</v>
      </c>
      <c r="AK59" s="4">
        <v>9</v>
      </c>
      <c r="AL59" s="4">
        <v>62</v>
      </c>
      <c r="AM59" s="4">
        <v>46</v>
      </c>
      <c r="AN59" s="4">
        <v>63</v>
      </c>
      <c r="AO59" s="4">
        <v>39</v>
      </c>
      <c r="AP59" s="4">
        <v>48</v>
      </c>
      <c r="AQ59" s="4">
        <v>35</v>
      </c>
      <c r="AR59" s="4">
        <v>21</v>
      </c>
      <c r="AS59" s="4">
        <v>24</v>
      </c>
      <c r="AT59" s="4">
        <v>43</v>
      </c>
      <c r="AU59" s="4">
        <v>25</v>
      </c>
      <c r="AV59" s="4">
        <v>60</v>
      </c>
      <c r="AW59" s="4">
        <v>52</v>
      </c>
      <c r="AX59" s="4">
        <v>58</v>
      </c>
      <c r="AY59" s="4">
        <v>36</v>
      </c>
      <c r="AZ59" s="4">
        <v>42</v>
      </c>
      <c r="BA59" s="4">
        <v>57</v>
      </c>
      <c r="BB59" s="4">
        <v>23</v>
      </c>
      <c r="BC59" s="4">
        <v>50</v>
      </c>
      <c r="BD59" s="4">
        <v>30</v>
      </c>
      <c r="BE59" s="4">
        <v>22</v>
      </c>
      <c r="BF59" s="4">
        <v>37</v>
      </c>
      <c r="BG59" s="4">
        <v>47</v>
      </c>
      <c r="BH59" s="4">
        <v>59</v>
      </c>
      <c r="BI59" s="4">
        <v>38</v>
      </c>
      <c r="BJ59" s="4">
        <v>55</v>
      </c>
      <c r="BK59" s="4">
        <v>0</v>
      </c>
      <c r="BL59" s="4">
        <v>0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V59" s="34" t="s">
        <v>51</v>
      </c>
      <c r="BW59" s="32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9"/>
    </row>
    <row r="60" spans="4:138" ht="16.5" thickTop="1" thickBot="1" x14ac:dyDescent="0.55000000000000004">
      <c r="D60" s="101"/>
      <c r="E60" s="99"/>
      <c r="F60" s="4">
        <v>2</v>
      </c>
      <c r="G60" s="4">
        <v>1</v>
      </c>
      <c r="H60" s="4">
        <v>5</v>
      </c>
      <c r="I60" s="4">
        <v>12</v>
      </c>
      <c r="J60" s="4">
        <v>13</v>
      </c>
      <c r="K60" s="4">
        <v>3</v>
      </c>
      <c r="L60" s="4">
        <v>10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4">
        <v>0</v>
      </c>
      <c r="AV60" s="4">
        <v>0</v>
      </c>
      <c r="AW60" s="4">
        <v>0</v>
      </c>
      <c r="AX60" s="4">
        <v>0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  <c r="BG60" s="4">
        <v>0</v>
      </c>
      <c r="BH60" s="4">
        <v>0</v>
      </c>
      <c r="BI60" s="4">
        <v>0</v>
      </c>
      <c r="BJ60" s="4">
        <v>0</v>
      </c>
      <c r="BK60" s="4">
        <v>0</v>
      </c>
      <c r="BL60" s="4">
        <v>0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V60" s="33" t="s">
        <v>48</v>
      </c>
      <c r="BW60" s="31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7"/>
    </row>
    <row r="61" spans="4:138" ht="16.149999999999999" thickBot="1" x14ac:dyDescent="0.55000000000000004">
      <c r="D61" s="100"/>
      <c r="E61" s="98" t="s">
        <v>12</v>
      </c>
      <c r="F61" s="4">
        <v>27</v>
      </c>
      <c r="G61" s="4">
        <v>16</v>
      </c>
      <c r="H61" s="4">
        <v>49</v>
      </c>
      <c r="I61" s="4">
        <v>6</v>
      </c>
      <c r="J61" s="4">
        <v>26</v>
      </c>
      <c r="K61" s="4">
        <v>53</v>
      </c>
      <c r="L61" s="4">
        <v>54</v>
      </c>
      <c r="M61" s="4">
        <v>61</v>
      </c>
      <c r="N61" s="4">
        <v>18</v>
      </c>
      <c r="O61" s="4">
        <v>45</v>
      </c>
      <c r="P61" s="4">
        <v>31</v>
      </c>
      <c r="Q61" s="4">
        <v>41</v>
      </c>
      <c r="R61" s="4">
        <v>33</v>
      </c>
      <c r="S61" s="4">
        <v>7</v>
      </c>
      <c r="T61" s="4">
        <v>8</v>
      </c>
      <c r="U61" s="4">
        <v>15</v>
      </c>
      <c r="V61" s="4">
        <v>40</v>
      </c>
      <c r="W61" s="4">
        <v>11</v>
      </c>
      <c r="X61" s="4">
        <v>56</v>
      </c>
      <c r="Y61" s="4">
        <v>19</v>
      </c>
      <c r="Z61" s="4">
        <v>14</v>
      </c>
      <c r="AA61" s="4">
        <v>44</v>
      </c>
      <c r="AB61" s="4">
        <v>51</v>
      </c>
      <c r="AC61" s="4">
        <v>20</v>
      </c>
      <c r="AD61" s="4">
        <v>32</v>
      </c>
      <c r="AE61" s="4">
        <v>64</v>
      </c>
      <c r="AF61" s="4">
        <v>34</v>
      </c>
      <c r="AG61" s="4">
        <v>29</v>
      </c>
      <c r="AH61" s="4">
        <v>4</v>
      </c>
      <c r="AI61" s="4">
        <v>28</v>
      </c>
      <c r="AJ61" s="4">
        <v>9</v>
      </c>
      <c r="AK61" s="4">
        <v>62</v>
      </c>
      <c r="AL61" s="4">
        <v>46</v>
      </c>
      <c r="AM61" s="4">
        <v>63</v>
      </c>
      <c r="AN61" s="4">
        <v>39</v>
      </c>
      <c r="AO61" s="4">
        <v>48</v>
      </c>
      <c r="AP61" s="4">
        <v>35</v>
      </c>
      <c r="AQ61" s="4">
        <v>21</v>
      </c>
      <c r="AR61" s="4">
        <v>24</v>
      </c>
      <c r="AS61" s="4">
        <v>43</v>
      </c>
      <c r="AT61" s="4">
        <v>25</v>
      </c>
      <c r="AU61" s="4">
        <v>60</v>
      </c>
      <c r="AV61" s="4">
        <v>52</v>
      </c>
      <c r="AW61" s="4">
        <v>58</v>
      </c>
      <c r="AX61" s="4">
        <v>36</v>
      </c>
      <c r="AY61" s="4">
        <v>42</v>
      </c>
      <c r="AZ61" s="4">
        <v>57</v>
      </c>
      <c r="BA61" s="4">
        <v>23</v>
      </c>
      <c r="BB61" s="4">
        <v>50</v>
      </c>
      <c r="BC61" s="4">
        <v>30</v>
      </c>
      <c r="BD61" s="4">
        <v>22</v>
      </c>
      <c r="BE61" s="4">
        <v>37</v>
      </c>
      <c r="BF61" s="4">
        <v>47</v>
      </c>
      <c r="BG61" s="4">
        <v>59</v>
      </c>
      <c r="BH61" s="4">
        <v>38</v>
      </c>
      <c r="BI61" s="4">
        <v>55</v>
      </c>
      <c r="BJ61" s="4">
        <v>17</v>
      </c>
      <c r="BK61" s="4">
        <v>0</v>
      </c>
      <c r="BL61" s="4">
        <v>0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V61" s="34" t="s">
        <v>51</v>
      </c>
      <c r="BW61" s="32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8"/>
      <c r="DJ61" s="28"/>
      <c r="DK61" s="28"/>
      <c r="DL61" s="28"/>
      <c r="DM61" s="28"/>
      <c r="DN61" s="28"/>
      <c r="DO61" s="28"/>
      <c r="DP61" s="28"/>
      <c r="DQ61" s="28"/>
      <c r="DR61" s="28"/>
      <c r="DS61" s="28"/>
      <c r="DT61" s="28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9"/>
    </row>
    <row r="62" spans="4:138" ht="16.5" thickTop="1" thickBot="1" x14ac:dyDescent="0.55000000000000004">
      <c r="D62" s="101"/>
      <c r="E62" s="99"/>
      <c r="F62" s="4">
        <v>2</v>
      </c>
      <c r="G62" s="4">
        <v>1</v>
      </c>
      <c r="H62" s="4">
        <v>5</v>
      </c>
      <c r="I62" s="4">
        <v>12</v>
      </c>
      <c r="J62" s="4">
        <v>13</v>
      </c>
      <c r="K62" s="4">
        <v>3</v>
      </c>
      <c r="L62" s="4">
        <v>10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  <c r="BM62" s="4">
        <v>0</v>
      </c>
      <c r="BN62" s="4">
        <v>0</v>
      </c>
      <c r="BO62" s="4">
        <v>0</v>
      </c>
      <c r="BP62" s="4">
        <v>0</v>
      </c>
      <c r="BQ62" s="4">
        <v>0</v>
      </c>
      <c r="BV62" s="33" t="s">
        <v>48</v>
      </c>
      <c r="BW62" s="31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7"/>
    </row>
    <row r="63" spans="4:138" ht="16.149999999999999" thickBot="1" x14ac:dyDescent="0.55000000000000004">
      <c r="D63" s="100"/>
      <c r="E63" s="98" t="s">
        <v>12</v>
      </c>
      <c r="F63" s="4">
        <v>16</v>
      </c>
      <c r="G63" s="4">
        <v>49</v>
      </c>
      <c r="H63" s="4">
        <v>6</v>
      </c>
      <c r="I63" s="4">
        <v>26</v>
      </c>
      <c r="J63" s="4">
        <v>53</v>
      </c>
      <c r="K63" s="4">
        <v>54</v>
      </c>
      <c r="L63" s="4">
        <v>61</v>
      </c>
      <c r="M63" s="4">
        <v>18</v>
      </c>
      <c r="N63" s="4">
        <v>45</v>
      </c>
      <c r="O63" s="4">
        <v>31</v>
      </c>
      <c r="P63" s="4">
        <v>41</v>
      </c>
      <c r="Q63" s="4">
        <v>33</v>
      </c>
      <c r="R63" s="4">
        <v>7</v>
      </c>
      <c r="S63" s="4">
        <v>8</v>
      </c>
      <c r="T63" s="4">
        <v>15</v>
      </c>
      <c r="U63" s="4">
        <v>40</v>
      </c>
      <c r="V63" s="4">
        <v>11</v>
      </c>
      <c r="W63" s="4">
        <v>56</v>
      </c>
      <c r="X63" s="4">
        <v>19</v>
      </c>
      <c r="Y63" s="4">
        <v>14</v>
      </c>
      <c r="Z63" s="4">
        <v>44</v>
      </c>
      <c r="AA63" s="4">
        <v>51</v>
      </c>
      <c r="AB63" s="4">
        <v>20</v>
      </c>
      <c r="AC63" s="4">
        <v>32</v>
      </c>
      <c r="AD63" s="4">
        <v>64</v>
      </c>
      <c r="AE63" s="4">
        <v>34</v>
      </c>
      <c r="AF63" s="4">
        <v>29</v>
      </c>
      <c r="AG63" s="4">
        <v>4</v>
      </c>
      <c r="AH63" s="4">
        <v>28</v>
      </c>
      <c r="AI63" s="4">
        <v>9</v>
      </c>
      <c r="AJ63" s="4">
        <v>62</v>
      </c>
      <c r="AK63" s="4">
        <v>46</v>
      </c>
      <c r="AL63" s="4">
        <v>63</v>
      </c>
      <c r="AM63" s="4">
        <v>39</v>
      </c>
      <c r="AN63" s="4">
        <v>48</v>
      </c>
      <c r="AO63" s="4">
        <v>35</v>
      </c>
      <c r="AP63" s="4">
        <v>21</v>
      </c>
      <c r="AQ63" s="4">
        <v>24</v>
      </c>
      <c r="AR63" s="4">
        <v>43</v>
      </c>
      <c r="AS63" s="4">
        <v>25</v>
      </c>
      <c r="AT63" s="4">
        <v>60</v>
      </c>
      <c r="AU63" s="4">
        <v>52</v>
      </c>
      <c r="AV63" s="4">
        <v>58</v>
      </c>
      <c r="AW63" s="4">
        <v>36</v>
      </c>
      <c r="AX63" s="4">
        <v>42</v>
      </c>
      <c r="AY63" s="4">
        <v>57</v>
      </c>
      <c r="AZ63" s="4">
        <v>23</v>
      </c>
      <c r="BA63" s="4">
        <v>50</v>
      </c>
      <c r="BB63" s="4">
        <v>30</v>
      </c>
      <c r="BC63" s="4">
        <v>22</v>
      </c>
      <c r="BD63" s="4">
        <v>37</v>
      </c>
      <c r="BE63" s="4">
        <v>47</v>
      </c>
      <c r="BF63" s="4">
        <v>59</v>
      </c>
      <c r="BG63" s="4">
        <v>38</v>
      </c>
      <c r="BH63" s="4">
        <v>55</v>
      </c>
      <c r="BI63" s="4">
        <v>17</v>
      </c>
      <c r="BJ63" s="4">
        <v>27</v>
      </c>
      <c r="BK63" s="4">
        <v>0</v>
      </c>
      <c r="BL63" s="4">
        <v>0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V63" s="34" t="s">
        <v>51</v>
      </c>
      <c r="BW63" s="32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28"/>
      <c r="DS63" s="28"/>
      <c r="DT63" s="28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9"/>
    </row>
    <row r="64" spans="4:138" ht="16.5" thickTop="1" thickBot="1" x14ac:dyDescent="0.55000000000000004">
      <c r="D64" s="101"/>
      <c r="E64" s="99"/>
      <c r="F64" s="4">
        <v>2</v>
      </c>
      <c r="G64" s="4">
        <v>1</v>
      </c>
      <c r="H64" s="4">
        <v>5</v>
      </c>
      <c r="I64" s="4">
        <v>12</v>
      </c>
      <c r="J64" s="4">
        <v>13</v>
      </c>
      <c r="K64" s="4">
        <v>3</v>
      </c>
      <c r="L64" s="4">
        <v>10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  <c r="BJ64" s="4">
        <v>0</v>
      </c>
      <c r="BK64" s="4">
        <v>0</v>
      </c>
      <c r="BL64" s="4">
        <v>0</v>
      </c>
      <c r="BM64" s="4">
        <v>0</v>
      </c>
      <c r="BN64" s="4">
        <v>0</v>
      </c>
      <c r="BO64" s="4">
        <v>0</v>
      </c>
      <c r="BP64" s="4">
        <v>0</v>
      </c>
      <c r="BQ64" s="4">
        <v>0</v>
      </c>
      <c r="BV64" s="33" t="s">
        <v>48</v>
      </c>
      <c r="BW64" s="31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7"/>
    </row>
    <row r="65" spans="4:138" ht="16.149999999999999" thickBot="1" x14ac:dyDescent="0.55000000000000004">
      <c r="D65" s="100"/>
      <c r="E65" s="98" t="s">
        <v>13</v>
      </c>
      <c r="F65" s="4">
        <v>49</v>
      </c>
      <c r="G65" s="4">
        <v>6</v>
      </c>
      <c r="H65" s="4">
        <v>26</v>
      </c>
      <c r="I65" s="4">
        <v>53</v>
      </c>
      <c r="J65" s="4">
        <v>54</v>
      </c>
      <c r="K65" s="4">
        <v>61</v>
      </c>
      <c r="L65" s="4">
        <v>18</v>
      </c>
      <c r="M65" s="4">
        <v>45</v>
      </c>
      <c r="N65" s="4">
        <v>31</v>
      </c>
      <c r="O65" s="4">
        <v>41</v>
      </c>
      <c r="P65" s="4">
        <v>33</v>
      </c>
      <c r="Q65" s="4">
        <v>7</v>
      </c>
      <c r="R65" s="4">
        <v>8</v>
      </c>
      <c r="S65" s="4">
        <v>15</v>
      </c>
      <c r="T65" s="4">
        <v>40</v>
      </c>
      <c r="U65" s="4">
        <v>11</v>
      </c>
      <c r="V65" s="4">
        <v>56</v>
      </c>
      <c r="W65" s="4">
        <v>19</v>
      </c>
      <c r="X65" s="4">
        <v>14</v>
      </c>
      <c r="Y65" s="4">
        <v>44</v>
      </c>
      <c r="Z65" s="4">
        <v>51</v>
      </c>
      <c r="AA65" s="4">
        <v>20</v>
      </c>
      <c r="AB65" s="4">
        <v>32</v>
      </c>
      <c r="AC65" s="4">
        <v>64</v>
      </c>
      <c r="AD65" s="4">
        <v>34</v>
      </c>
      <c r="AE65" s="4">
        <v>29</v>
      </c>
      <c r="AF65" s="4">
        <v>4</v>
      </c>
      <c r="AG65" s="4">
        <v>28</v>
      </c>
      <c r="AH65" s="4">
        <v>9</v>
      </c>
      <c r="AI65" s="4">
        <v>62</v>
      </c>
      <c r="AJ65" s="4">
        <v>46</v>
      </c>
      <c r="AK65" s="4">
        <v>63</v>
      </c>
      <c r="AL65" s="4">
        <v>39</v>
      </c>
      <c r="AM65" s="4">
        <v>48</v>
      </c>
      <c r="AN65" s="4">
        <v>35</v>
      </c>
      <c r="AO65" s="4">
        <v>21</v>
      </c>
      <c r="AP65" s="4">
        <v>24</v>
      </c>
      <c r="AQ65" s="4">
        <v>43</v>
      </c>
      <c r="AR65" s="4">
        <v>25</v>
      </c>
      <c r="AS65" s="4">
        <v>60</v>
      </c>
      <c r="AT65" s="4">
        <v>52</v>
      </c>
      <c r="AU65" s="4">
        <v>58</v>
      </c>
      <c r="AV65" s="4">
        <v>36</v>
      </c>
      <c r="AW65" s="4">
        <v>42</v>
      </c>
      <c r="AX65" s="4">
        <v>57</v>
      </c>
      <c r="AY65" s="4">
        <v>23</v>
      </c>
      <c r="AZ65" s="4">
        <v>50</v>
      </c>
      <c r="BA65" s="4">
        <v>30</v>
      </c>
      <c r="BB65" s="4">
        <v>22</v>
      </c>
      <c r="BC65" s="4">
        <v>37</v>
      </c>
      <c r="BD65" s="4">
        <v>47</v>
      </c>
      <c r="BE65" s="4">
        <v>59</v>
      </c>
      <c r="BF65" s="4">
        <v>38</v>
      </c>
      <c r="BG65" s="4">
        <v>55</v>
      </c>
      <c r="BH65" s="4">
        <v>17</v>
      </c>
      <c r="BI65" s="4">
        <v>27</v>
      </c>
      <c r="BJ65" s="4">
        <v>0</v>
      </c>
      <c r="BK65" s="4">
        <v>0</v>
      </c>
      <c r="BL65" s="4">
        <v>0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V65" s="34" t="s">
        <v>51</v>
      </c>
      <c r="BW65" s="32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8"/>
      <c r="DJ65" s="28"/>
      <c r="DK65" s="28"/>
      <c r="DL65" s="28"/>
      <c r="DM65" s="28"/>
      <c r="DN65" s="28"/>
      <c r="DO65" s="28"/>
      <c r="DP65" s="28"/>
      <c r="DQ65" s="28"/>
      <c r="DR65" s="28"/>
      <c r="DS65" s="28"/>
      <c r="DT65" s="28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9"/>
    </row>
    <row r="66" spans="4:138" ht="16.5" thickTop="1" thickBot="1" x14ac:dyDescent="0.55000000000000004">
      <c r="D66" s="101"/>
      <c r="E66" s="99"/>
      <c r="F66" s="4">
        <v>16</v>
      </c>
      <c r="G66" s="4">
        <v>2</v>
      </c>
      <c r="H66" s="4">
        <v>1</v>
      </c>
      <c r="I66" s="4">
        <v>5</v>
      </c>
      <c r="J66" s="4">
        <v>12</v>
      </c>
      <c r="K66" s="4">
        <v>13</v>
      </c>
      <c r="L66" s="4">
        <v>3</v>
      </c>
      <c r="M66" s="4">
        <v>10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V66" s="33" t="s">
        <v>48</v>
      </c>
      <c r="BW66" s="31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7"/>
    </row>
    <row r="67" spans="4:138" ht="16.149999999999999" thickBot="1" x14ac:dyDescent="0.55000000000000004">
      <c r="D67" s="100"/>
      <c r="E67" s="98" t="s">
        <v>12</v>
      </c>
      <c r="F67" s="4">
        <v>6</v>
      </c>
      <c r="G67" s="4">
        <v>26</v>
      </c>
      <c r="H67" s="4">
        <v>53</v>
      </c>
      <c r="I67" s="4">
        <v>54</v>
      </c>
      <c r="J67" s="4">
        <v>61</v>
      </c>
      <c r="K67" s="4">
        <v>18</v>
      </c>
      <c r="L67" s="4">
        <v>45</v>
      </c>
      <c r="M67" s="4">
        <v>31</v>
      </c>
      <c r="N67" s="4">
        <v>41</v>
      </c>
      <c r="O67" s="4">
        <v>33</v>
      </c>
      <c r="P67" s="4">
        <v>7</v>
      </c>
      <c r="Q67" s="4">
        <v>8</v>
      </c>
      <c r="R67" s="4">
        <v>15</v>
      </c>
      <c r="S67" s="4">
        <v>40</v>
      </c>
      <c r="T67" s="4">
        <v>11</v>
      </c>
      <c r="U67" s="4">
        <v>56</v>
      </c>
      <c r="V67" s="4">
        <v>19</v>
      </c>
      <c r="W67" s="4">
        <v>14</v>
      </c>
      <c r="X67" s="4">
        <v>44</v>
      </c>
      <c r="Y67" s="4">
        <v>51</v>
      </c>
      <c r="Z67" s="4">
        <v>20</v>
      </c>
      <c r="AA67" s="4">
        <v>32</v>
      </c>
      <c r="AB67" s="4">
        <v>64</v>
      </c>
      <c r="AC67" s="4">
        <v>34</v>
      </c>
      <c r="AD67" s="4">
        <v>29</v>
      </c>
      <c r="AE67" s="4">
        <v>4</v>
      </c>
      <c r="AF67" s="4">
        <v>28</v>
      </c>
      <c r="AG67" s="4">
        <v>9</v>
      </c>
      <c r="AH67" s="4">
        <v>62</v>
      </c>
      <c r="AI67" s="4">
        <v>46</v>
      </c>
      <c r="AJ67" s="4">
        <v>63</v>
      </c>
      <c r="AK67" s="4">
        <v>39</v>
      </c>
      <c r="AL67" s="4">
        <v>48</v>
      </c>
      <c r="AM67" s="4">
        <v>35</v>
      </c>
      <c r="AN67" s="4">
        <v>21</v>
      </c>
      <c r="AO67" s="4">
        <v>24</v>
      </c>
      <c r="AP67" s="4">
        <v>43</v>
      </c>
      <c r="AQ67" s="4">
        <v>25</v>
      </c>
      <c r="AR67" s="4">
        <v>60</v>
      </c>
      <c r="AS67" s="4">
        <v>52</v>
      </c>
      <c r="AT67" s="4">
        <v>58</v>
      </c>
      <c r="AU67" s="4">
        <v>36</v>
      </c>
      <c r="AV67" s="4">
        <v>42</v>
      </c>
      <c r="AW67" s="4">
        <v>57</v>
      </c>
      <c r="AX67" s="4">
        <v>23</v>
      </c>
      <c r="AY67" s="4">
        <v>50</v>
      </c>
      <c r="AZ67" s="4">
        <v>30</v>
      </c>
      <c r="BA67" s="4">
        <v>22</v>
      </c>
      <c r="BB67" s="4">
        <v>37</v>
      </c>
      <c r="BC67" s="4">
        <v>47</v>
      </c>
      <c r="BD67" s="4">
        <v>59</v>
      </c>
      <c r="BE67" s="4">
        <v>38</v>
      </c>
      <c r="BF67" s="4">
        <v>55</v>
      </c>
      <c r="BG67" s="4">
        <v>17</v>
      </c>
      <c r="BH67" s="4">
        <v>27</v>
      </c>
      <c r="BI67" s="4">
        <v>49</v>
      </c>
      <c r="BJ67" s="4">
        <v>0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V67" s="34" t="s">
        <v>51</v>
      </c>
      <c r="BW67" s="32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  <c r="DD67" s="28"/>
      <c r="DE67" s="28"/>
      <c r="DF67" s="28"/>
      <c r="DG67" s="28"/>
      <c r="DH67" s="28"/>
      <c r="DI67" s="28"/>
      <c r="DJ67" s="28"/>
      <c r="DK67" s="28"/>
      <c r="DL67" s="28"/>
      <c r="DM67" s="28"/>
      <c r="DN67" s="28"/>
      <c r="DO67" s="28"/>
      <c r="DP67" s="28"/>
      <c r="DQ67" s="28"/>
      <c r="DR67" s="28"/>
      <c r="DS67" s="28"/>
      <c r="DT67" s="28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9"/>
    </row>
    <row r="68" spans="4:138" ht="16.5" thickTop="1" thickBot="1" x14ac:dyDescent="0.55000000000000004">
      <c r="D68" s="101"/>
      <c r="E68" s="99"/>
      <c r="F68" s="4">
        <v>16</v>
      </c>
      <c r="G68" s="4">
        <v>2</v>
      </c>
      <c r="H68" s="4">
        <v>1</v>
      </c>
      <c r="I68" s="4">
        <v>5</v>
      </c>
      <c r="J68" s="4">
        <v>12</v>
      </c>
      <c r="K68" s="4">
        <v>13</v>
      </c>
      <c r="L68" s="4">
        <v>3</v>
      </c>
      <c r="M68" s="4">
        <v>10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4">
        <v>0</v>
      </c>
      <c r="AW68" s="4">
        <v>0</v>
      </c>
      <c r="AX68" s="4">
        <v>0</v>
      </c>
      <c r="AY68" s="4">
        <v>0</v>
      </c>
      <c r="AZ68" s="4">
        <v>0</v>
      </c>
      <c r="BA68" s="4">
        <v>0</v>
      </c>
      <c r="BB68" s="4">
        <v>0</v>
      </c>
      <c r="BC68" s="4">
        <v>0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</v>
      </c>
      <c r="BK68" s="4">
        <v>0</v>
      </c>
      <c r="BL68" s="4">
        <v>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V68" s="33" t="s">
        <v>48</v>
      </c>
      <c r="BW68" s="31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7"/>
    </row>
    <row r="69" spans="4:138" ht="16.149999999999999" thickBot="1" x14ac:dyDescent="0.55000000000000004">
      <c r="D69" s="100"/>
      <c r="E69" s="98" t="s">
        <v>13</v>
      </c>
      <c r="F69" s="4">
        <v>26</v>
      </c>
      <c r="G69" s="4">
        <v>53</v>
      </c>
      <c r="H69" s="4">
        <v>54</v>
      </c>
      <c r="I69" s="4">
        <v>61</v>
      </c>
      <c r="J69" s="4">
        <v>18</v>
      </c>
      <c r="K69" s="4">
        <v>45</v>
      </c>
      <c r="L69" s="4">
        <v>31</v>
      </c>
      <c r="M69" s="4">
        <v>41</v>
      </c>
      <c r="N69" s="4">
        <v>33</v>
      </c>
      <c r="O69" s="4">
        <v>7</v>
      </c>
      <c r="P69" s="4">
        <v>8</v>
      </c>
      <c r="Q69" s="4">
        <v>15</v>
      </c>
      <c r="R69" s="4">
        <v>40</v>
      </c>
      <c r="S69" s="4">
        <v>11</v>
      </c>
      <c r="T69" s="4">
        <v>56</v>
      </c>
      <c r="U69" s="4">
        <v>19</v>
      </c>
      <c r="V69" s="4">
        <v>14</v>
      </c>
      <c r="W69" s="4">
        <v>44</v>
      </c>
      <c r="X69" s="4">
        <v>51</v>
      </c>
      <c r="Y69" s="4">
        <v>20</v>
      </c>
      <c r="Z69" s="4">
        <v>32</v>
      </c>
      <c r="AA69" s="4">
        <v>64</v>
      </c>
      <c r="AB69" s="4">
        <v>34</v>
      </c>
      <c r="AC69" s="4">
        <v>29</v>
      </c>
      <c r="AD69" s="4">
        <v>4</v>
      </c>
      <c r="AE69" s="4">
        <v>28</v>
      </c>
      <c r="AF69" s="4">
        <v>9</v>
      </c>
      <c r="AG69" s="4">
        <v>62</v>
      </c>
      <c r="AH69" s="4">
        <v>46</v>
      </c>
      <c r="AI69" s="4">
        <v>63</v>
      </c>
      <c r="AJ69" s="4">
        <v>39</v>
      </c>
      <c r="AK69" s="4">
        <v>48</v>
      </c>
      <c r="AL69" s="4">
        <v>35</v>
      </c>
      <c r="AM69" s="4">
        <v>21</v>
      </c>
      <c r="AN69" s="4">
        <v>24</v>
      </c>
      <c r="AO69" s="4">
        <v>43</v>
      </c>
      <c r="AP69" s="4">
        <v>25</v>
      </c>
      <c r="AQ69" s="4">
        <v>60</v>
      </c>
      <c r="AR69" s="4">
        <v>52</v>
      </c>
      <c r="AS69" s="4">
        <v>58</v>
      </c>
      <c r="AT69" s="4">
        <v>36</v>
      </c>
      <c r="AU69" s="4">
        <v>42</v>
      </c>
      <c r="AV69" s="4">
        <v>57</v>
      </c>
      <c r="AW69" s="4">
        <v>23</v>
      </c>
      <c r="AX69" s="4">
        <v>50</v>
      </c>
      <c r="AY69" s="4">
        <v>30</v>
      </c>
      <c r="AZ69" s="4">
        <v>22</v>
      </c>
      <c r="BA69" s="4">
        <v>37</v>
      </c>
      <c r="BB69" s="4">
        <v>47</v>
      </c>
      <c r="BC69" s="4">
        <v>59</v>
      </c>
      <c r="BD69" s="4">
        <v>38</v>
      </c>
      <c r="BE69" s="4">
        <v>55</v>
      </c>
      <c r="BF69" s="4">
        <v>17</v>
      </c>
      <c r="BG69" s="4">
        <v>27</v>
      </c>
      <c r="BH69" s="4">
        <v>49</v>
      </c>
      <c r="BI69" s="4">
        <v>0</v>
      </c>
      <c r="BJ69" s="4">
        <v>0</v>
      </c>
      <c r="BK69" s="4">
        <v>0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V69" s="34" t="s">
        <v>51</v>
      </c>
      <c r="BW69" s="32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  <c r="DD69" s="28"/>
      <c r="DE69" s="28"/>
      <c r="DF69" s="28"/>
      <c r="DG69" s="28"/>
      <c r="DH69" s="28"/>
      <c r="DI69" s="28"/>
      <c r="DJ69" s="28"/>
      <c r="DK69" s="28"/>
      <c r="DL69" s="28"/>
      <c r="DM69" s="28"/>
      <c r="DN69" s="28"/>
      <c r="DO69" s="28"/>
      <c r="DP69" s="28"/>
      <c r="DQ69" s="28"/>
      <c r="DR69" s="28"/>
      <c r="DS69" s="28"/>
      <c r="DT69" s="28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9"/>
    </row>
    <row r="70" spans="4:138" ht="16.5" thickTop="1" thickBot="1" x14ac:dyDescent="0.55000000000000004">
      <c r="D70" s="101"/>
      <c r="E70" s="99"/>
      <c r="F70" s="4">
        <v>6</v>
      </c>
      <c r="G70" s="4">
        <v>16</v>
      </c>
      <c r="H70" s="4">
        <v>2</v>
      </c>
      <c r="I70" s="4">
        <v>1</v>
      </c>
      <c r="J70" s="4">
        <v>5</v>
      </c>
      <c r="K70" s="4">
        <v>12</v>
      </c>
      <c r="L70" s="4">
        <v>13</v>
      </c>
      <c r="M70" s="4">
        <v>3</v>
      </c>
      <c r="N70" s="4">
        <v>10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0</v>
      </c>
      <c r="AV70" s="4">
        <v>0</v>
      </c>
      <c r="AW70" s="4">
        <v>0</v>
      </c>
      <c r="AX70" s="4">
        <v>0</v>
      </c>
      <c r="AY70" s="4">
        <v>0</v>
      </c>
      <c r="AZ70" s="4">
        <v>0</v>
      </c>
      <c r="BA70" s="4">
        <v>0</v>
      </c>
      <c r="BB70" s="4">
        <v>0</v>
      </c>
      <c r="BC70" s="4">
        <v>0</v>
      </c>
      <c r="BD70" s="4">
        <v>0</v>
      </c>
      <c r="BE70" s="4">
        <v>0</v>
      </c>
      <c r="BF70" s="4">
        <v>0</v>
      </c>
      <c r="BG70" s="4">
        <v>0</v>
      </c>
      <c r="BH70" s="4">
        <v>0</v>
      </c>
      <c r="BI70" s="4">
        <v>0</v>
      </c>
      <c r="BJ70" s="4">
        <v>0</v>
      </c>
      <c r="BK70" s="4">
        <v>0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V70" s="33" t="s">
        <v>48</v>
      </c>
      <c r="BW70" s="31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7"/>
    </row>
    <row r="71" spans="4:138" ht="16.149999999999999" thickBot="1" x14ac:dyDescent="0.55000000000000004">
      <c r="D71" s="100"/>
      <c r="E71" s="98" t="s">
        <v>12</v>
      </c>
      <c r="F71" s="4">
        <v>53</v>
      </c>
      <c r="G71" s="4">
        <v>54</v>
      </c>
      <c r="H71" s="4">
        <v>61</v>
      </c>
      <c r="I71" s="4">
        <v>18</v>
      </c>
      <c r="J71" s="4">
        <v>45</v>
      </c>
      <c r="K71" s="4">
        <v>31</v>
      </c>
      <c r="L71" s="4">
        <v>41</v>
      </c>
      <c r="M71" s="4">
        <v>33</v>
      </c>
      <c r="N71" s="4">
        <v>7</v>
      </c>
      <c r="O71" s="4">
        <v>8</v>
      </c>
      <c r="P71" s="4">
        <v>15</v>
      </c>
      <c r="Q71" s="4">
        <v>40</v>
      </c>
      <c r="R71" s="4">
        <v>11</v>
      </c>
      <c r="S71" s="4">
        <v>56</v>
      </c>
      <c r="T71" s="4">
        <v>19</v>
      </c>
      <c r="U71" s="4">
        <v>14</v>
      </c>
      <c r="V71" s="4">
        <v>44</v>
      </c>
      <c r="W71" s="4">
        <v>51</v>
      </c>
      <c r="X71" s="4">
        <v>20</v>
      </c>
      <c r="Y71" s="4">
        <v>32</v>
      </c>
      <c r="Z71" s="4">
        <v>64</v>
      </c>
      <c r="AA71" s="4">
        <v>34</v>
      </c>
      <c r="AB71" s="4">
        <v>29</v>
      </c>
      <c r="AC71" s="4">
        <v>4</v>
      </c>
      <c r="AD71" s="4">
        <v>28</v>
      </c>
      <c r="AE71" s="4">
        <v>9</v>
      </c>
      <c r="AF71" s="4">
        <v>62</v>
      </c>
      <c r="AG71" s="4">
        <v>46</v>
      </c>
      <c r="AH71" s="4">
        <v>63</v>
      </c>
      <c r="AI71" s="4">
        <v>39</v>
      </c>
      <c r="AJ71" s="4">
        <v>48</v>
      </c>
      <c r="AK71" s="4">
        <v>35</v>
      </c>
      <c r="AL71" s="4">
        <v>21</v>
      </c>
      <c r="AM71" s="4">
        <v>24</v>
      </c>
      <c r="AN71" s="4">
        <v>43</v>
      </c>
      <c r="AO71" s="4">
        <v>25</v>
      </c>
      <c r="AP71" s="4">
        <v>60</v>
      </c>
      <c r="AQ71" s="4">
        <v>52</v>
      </c>
      <c r="AR71" s="4">
        <v>58</v>
      </c>
      <c r="AS71" s="4">
        <v>36</v>
      </c>
      <c r="AT71" s="4">
        <v>42</v>
      </c>
      <c r="AU71" s="4">
        <v>57</v>
      </c>
      <c r="AV71" s="4">
        <v>23</v>
      </c>
      <c r="AW71" s="4">
        <v>50</v>
      </c>
      <c r="AX71" s="4">
        <v>30</v>
      </c>
      <c r="AY71" s="4">
        <v>22</v>
      </c>
      <c r="AZ71" s="4">
        <v>37</v>
      </c>
      <c r="BA71" s="4">
        <v>47</v>
      </c>
      <c r="BB71" s="4">
        <v>59</v>
      </c>
      <c r="BC71" s="4">
        <v>38</v>
      </c>
      <c r="BD71" s="4">
        <v>55</v>
      </c>
      <c r="BE71" s="4">
        <v>17</v>
      </c>
      <c r="BF71" s="4">
        <v>27</v>
      </c>
      <c r="BG71" s="4">
        <v>49</v>
      </c>
      <c r="BH71" s="4">
        <v>26</v>
      </c>
      <c r="BI71" s="4">
        <v>0</v>
      </c>
      <c r="BJ71" s="4">
        <v>0</v>
      </c>
      <c r="BK71" s="4">
        <v>0</v>
      </c>
      <c r="BL71" s="4">
        <v>0</v>
      </c>
      <c r="BM71" s="4">
        <v>0</v>
      </c>
      <c r="BN71" s="4">
        <v>0</v>
      </c>
      <c r="BO71" s="4">
        <v>0</v>
      </c>
      <c r="BP71" s="4">
        <v>0</v>
      </c>
      <c r="BQ71" s="4">
        <v>0</v>
      </c>
      <c r="BV71" s="34" t="s">
        <v>51</v>
      </c>
      <c r="BW71" s="32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28"/>
      <c r="DT71" s="28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9"/>
    </row>
    <row r="72" spans="4:138" ht="16.5" thickTop="1" thickBot="1" x14ac:dyDescent="0.55000000000000004">
      <c r="D72" s="101"/>
      <c r="E72" s="99"/>
      <c r="F72" s="4">
        <v>6</v>
      </c>
      <c r="G72" s="4">
        <v>16</v>
      </c>
      <c r="H72" s="4">
        <v>2</v>
      </c>
      <c r="I72" s="4">
        <v>1</v>
      </c>
      <c r="J72" s="4">
        <v>5</v>
      </c>
      <c r="K72" s="4">
        <v>12</v>
      </c>
      <c r="L72" s="4">
        <v>13</v>
      </c>
      <c r="M72" s="4">
        <v>3</v>
      </c>
      <c r="N72" s="4">
        <v>10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0</v>
      </c>
      <c r="BO72" s="4">
        <v>0</v>
      </c>
      <c r="BP72" s="4">
        <v>0</v>
      </c>
      <c r="BQ72" s="4">
        <v>0</v>
      </c>
      <c r="BV72" s="33" t="s">
        <v>48</v>
      </c>
      <c r="BW72" s="31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7"/>
    </row>
    <row r="73" spans="4:138" ht="16.149999999999999" thickBot="1" x14ac:dyDescent="0.55000000000000004">
      <c r="D73" s="100"/>
      <c r="E73" s="98" t="s">
        <v>12</v>
      </c>
      <c r="F73" s="4">
        <v>54</v>
      </c>
      <c r="G73" s="4">
        <v>61</v>
      </c>
      <c r="H73" s="4">
        <v>18</v>
      </c>
      <c r="I73" s="4">
        <v>45</v>
      </c>
      <c r="J73" s="4">
        <v>31</v>
      </c>
      <c r="K73" s="4">
        <v>41</v>
      </c>
      <c r="L73" s="4">
        <v>33</v>
      </c>
      <c r="M73" s="4">
        <v>7</v>
      </c>
      <c r="N73" s="4">
        <v>8</v>
      </c>
      <c r="O73" s="4">
        <v>15</v>
      </c>
      <c r="P73" s="4">
        <v>40</v>
      </c>
      <c r="Q73" s="4">
        <v>11</v>
      </c>
      <c r="R73" s="4">
        <v>56</v>
      </c>
      <c r="S73" s="4">
        <v>19</v>
      </c>
      <c r="T73" s="4">
        <v>14</v>
      </c>
      <c r="U73" s="4">
        <v>44</v>
      </c>
      <c r="V73" s="4">
        <v>51</v>
      </c>
      <c r="W73" s="4">
        <v>20</v>
      </c>
      <c r="X73" s="4">
        <v>32</v>
      </c>
      <c r="Y73" s="4">
        <v>64</v>
      </c>
      <c r="Z73" s="4">
        <v>34</v>
      </c>
      <c r="AA73" s="4">
        <v>29</v>
      </c>
      <c r="AB73" s="4">
        <v>4</v>
      </c>
      <c r="AC73" s="4">
        <v>28</v>
      </c>
      <c r="AD73" s="4">
        <v>9</v>
      </c>
      <c r="AE73" s="4">
        <v>62</v>
      </c>
      <c r="AF73" s="4">
        <v>46</v>
      </c>
      <c r="AG73" s="4">
        <v>63</v>
      </c>
      <c r="AH73" s="4">
        <v>39</v>
      </c>
      <c r="AI73" s="4">
        <v>48</v>
      </c>
      <c r="AJ73" s="4">
        <v>35</v>
      </c>
      <c r="AK73" s="4">
        <v>21</v>
      </c>
      <c r="AL73" s="4">
        <v>24</v>
      </c>
      <c r="AM73" s="4">
        <v>43</v>
      </c>
      <c r="AN73" s="4">
        <v>25</v>
      </c>
      <c r="AO73" s="4">
        <v>60</v>
      </c>
      <c r="AP73" s="4">
        <v>52</v>
      </c>
      <c r="AQ73" s="4">
        <v>58</v>
      </c>
      <c r="AR73" s="4">
        <v>36</v>
      </c>
      <c r="AS73" s="4">
        <v>42</v>
      </c>
      <c r="AT73" s="4">
        <v>57</v>
      </c>
      <c r="AU73" s="4">
        <v>23</v>
      </c>
      <c r="AV73" s="4">
        <v>50</v>
      </c>
      <c r="AW73" s="4">
        <v>30</v>
      </c>
      <c r="AX73" s="4">
        <v>22</v>
      </c>
      <c r="AY73" s="4">
        <v>37</v>
      </c>
      <c r="AZ73" s="4">
        <v>47</v>
      </c>
      <c r="BA73" s="4">
        <v>59</v>
      </c>
      <c r="BB73" s="4">
        <v>38</v>
      </c>
      <c r="BC73" s="4">
        <v>55</v>
      </c>
      <c r="BD73" s="4">
        <v>17</v>
      </c>
      <c r="BE73" s="4">
        <v>27</v>
      </c>
      <c r="BF73" s="4">
        <v>49</v>
      </c>
      <c r="BG73" s="4">
        <v>26</v>
      </c>
      <c r="BH73" s="4">
        <v>53</v>
      </c>
      <c r="BI73" s="4">
        <v>0</v>
      </c>
      <c r="BJ73" s="4">
        <v>0</v>
      </c>
      <c r="BK73" s="4">
        <v>0</v>
      </c>
      <c r="BL73" s="4">
        <v>0</v>
      </c>
      <c r="BM73" s="4">
        <v>0</v>
      </c>
      <c r="BN73" s="4">
        <v>0</v>
      </c>
      <c r="BO73" s="4">
        <v>0</v>
      </c>
      <c r="BP73" s="4">
        <v>0</v>
      </c>
      <c r="BQ73" s="4">
        <v>0</v>
      </c>
      <c r="BV73" s="34" t="s">
        <v>51</v>
      </c>
      <c r="BW73" s="32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28"/>
      <c r="DN73" s="28"/>
      <c r="DO73" s="28"/>
      <c r="DP73" s="28"/>
      <c r="DQ73" s="28"/>
      <c r="DR73" s="28"/>
      <c r="DS73" s="28"/>
      <c r="DT73" s="28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9"/>
    </row>
    <row r="74" spans="4:138" ht="16.5" thickTop="1" thickBot="1" x14ac:dyDescent="0.55000000000000004">
      <c r="D74" s="101"/>
      <c r="E74" s="99"/>
      <c r="F74" s="4">
        <v>6</v>
      </c>
      <c r="G74" s="4">
        <v>16</v>
      </c>
      <c r="H74" s="4">
        <v>2</v>
      </c>
      <c r="I74" s="4">
        <v>1</v>
      </c>
      <c r="J74" s="4">
        <v>5</v>
      </c>
      <c r="K74" s="4">
        <v>12</v>
      </c>
      <c r="L74" s="4">
        <v>13</v>
      </c>
      <c r="M74" s="4">
        <v>3</v>
      </c>
      <c r="N74" s="4">
        <v>10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  <c r="AM74" s="4">
        <v>0</v>
      </c>
      <c r="AN74" s="4">
        <v>0</v>
      </c>
      <c r="AO74" s="4">
        <v>0</v>
      </c>
      <c r="AP74" s="4">
        <v>0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4">
        <v>0</v>
      </c>
      <c r="AW74" s="4">
        <v>0</v>
      </c>
      <c r="AX74" s="4">
        <v>0</v>
      </c>
      <c r="AY74" s="4">
        <v>0</v>
      </c>
      <c r="AZ74" s="4">
        <v>0</v>
      </c>
      <c r="BA74" s="4">
        <v>0</v>
      </c>
      <c r="BB74" s="4">
        <v>0</v>
      </c>
      <c r="BC74" s="4">
        <v>0</v>
      </c>
      <c r="BD74" s="4">
        <v>0</v>
      </c>
      <c r="BE74" s="4">
        <v>0</v>
      </c>
      <c r="BF74" s="4">
        <v>0</v>
      </c>
      <c r="BG74" s="4">
        <v>0</v>
      </c>
      <c r="BH74" s="4">
        <v>0</v>
      </c>
      <c r="BI74" s="4">
        <v>0</v>
      </c>
      <c r="BJ74" s="4">
        <v>0</v>
      </c>
      <c r="BK74" s="4">
        <v>0</v>
      </c>
      <c r="BL74" s="4">
        <v>0</v>
      </c>
      <c r="BM74" s="4">
        <v>0</v>
      </c>
      <c r="BN74" s="4">
        <v>0</v>
      </c>
      <c r="BO74" s="4">
        <v>0</v>
      </c>
      <c r="BP74" s="4">
        <v>0</v>
      </c>
      <c r="BQ74" s="4">
        <v>0</v>
      </c>
      <c r="BV74" s="33" t="s">
        <v>48</v>
      </c>
      <c r="BW74" s="31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7"/>
    </row>
    <row r="75" spans="4:138" ht="16.149999999999999" thickBot="1" x14ac:dyDescent="0.55000000000000004">
      <c r="D75" s="100"/>
      <c r="E75" s="98" t="s">
        <v>12</v>
      </c>
      <c r="F75" s="4">
        <v>61</v>
      </c>
      <c r="G75" s="4">
        <v>18</v>
      </c>
      <c r="H75" s="4">
        <v>45</v>
      </c>
      <c r="I75" s="4">
        <v>31</v>
      </c>
      <c r="J75" s="4">
        <v>41</v>
      </c>
      <c r="K75" s="4">
        <v>33</v>
      </c>
      <c r="L75" s="4">
        <v>7</v>
      </c>
      <c r="M75" s="4">
        <v>8</v>
      </c>
      <c r="N75" s="4">
        <v>15</v>
      </c>
      <c r="O75" s="4">
        <v>40</v>
      </c>
      <c r="P75" s="4">
        <v>11</v>
      </c>
      <c r="Q75" s="4">
        <v>56</v>
      </c>
      <c r="R75" s="4">
        <v>19</v>
      </c>
      <c r="S75" s="4">
        <v>14</v>
      </c>
      <c r="T75" s="4">
        <v>44</v>
      </c>
      <c r="U75" s="4">
        <v>51</v>
      </c>
      <c r="V75" s="4">
        <v>20</v>
      </c>
      <c r="W75" s="4">
        <v>32</v>
      </c>
      <c r="X75" s="4">
        <v>64</v>
      </c>
      <c r="Y75" s="4">
        <v>34</v>
      </c>
      <c r="Z75" s="4">
        <v>29</v>
      </c>
      <c r="AA75" s="4">
        <v>4</v>
      </c>
      <c r="AB75" s="4">
        <v>28</v>
      </c>
      <c r="AC75" s="4">
        <v>9</v>
      </c>
      <c r="AD75" s="4">
        <v>62</v>
      </c>
      <c r="AE75" s="4">
        <v>46</v>
      </c>
      <c r="AF75" s="4">
        <v>63</v>
      </c>
      <c r="AG75" s="4">
        <v>39</v>
      </c>
      <c r="AH75" s="4">
        <v>48</v>
      </c>
      <c r="AI75" s="4">
        <v>35</v>
      </c>
      <c r="AJ75" s="4">
        <v>21</v>
      </c>
      <c r="AK75" s="4">
        <v>24</v>
      </c>
      <c r="AL75" s="4">
        <v>43</v>
      </c>
      <c r="AM75" s="4">
        <v>25</v>
      </c>
      <c r="AN75" s="4">
        <v>60</v>
      </c>
      <c r="AO75" s="4">
        <v>52</v>
      </c>
      <c r="AP75" s="4">
        <v>58</v>
      </c>
      <c r="AQ75" s="4">
        <v>36</v>
      </c>
      <c r="AR75" s="4">
        <v>42</v>
      </c>
      <c r="AS75" s="4">
        <v>57</v>
      </c>
      <c r="AT75" s="4">
        <v>23</v>
      </c>
      <c r="AU75" s="4">
        <v>50</v>
      </c>
      <c r="AV75" s="4">
        <v>30</v>
      </c>
      <c r="AW75" s="4">
        <v>22</v>
      </c>
      <c r="AX75" s="4">
        <v>37</v>
      </c>
      <c r="AY75" s="4">
        <v>47</v>
      </c>
      <c r="AZ75" s="4">
        <v>59</v>
      </c>
      <c r="BA75" s="4">
        <v>38</v>
      </c>
      <c r="BB75" s="4">
        <v>55</v>
      </c>
      <c r="BC75" s="4">
        <v>17</v>
      </c>
      <c r="BD75" s="4">
        <v>27</v>
      </c>
      <c r="BE75" s="4">
        <v>49</v>
      </c>
      <c r="BF75" s="4">
        <v>26</v>
      </c>
      <c r="BG75" s="4">
        <v>53</v>
      </c>
      <c r="BH75" s="4">
        <v>54</v>
      </c>
      <c r="BI75" s="4">
        <v>0</v>
      </c>
      <c r="BJ75" s="4">
        <v>0</v>
      </c>
      <c r="BK75" s="4">
        <v>0</v>
      </c>
      <c r="BL75" s="4">
        <v>0</v>
      </c>
      <c r="BM75" s="4">
        <v>0</v>
      </c>
      <c r="BN75" s="4">
        <v>0</v>
      </c>
      <c r="BO75" s="4">
        <v>0</v>
      </c>
      <c r="BP75" s="4">
        <v>0</v>
      </c>
      <c r="BQ75" s="4">
        <v>0</v>
      </c>
      <c r="BV75" s="34" t="s">
        <v>51</v>
      </c>
      <c r="BW75" s="32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28"/>
      <c r="DN75" s="28"/>
      <c r="DO75" s="28"/>
      <c r="DP75" s="28"/>
      <c r="DQ75" s="28"/>
      <c r="DR75" s="28"/>
      <c r="DS75" s="28"/>
      <c r="DT75" s="28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9"/>
    </row>
    <row r="76" spans="4:138" ht="16.5" thickTop="1" thickBot="1" x14ac:dyDescent="0.55000000000000004">
      <c r="D76" s="101"/>
      <c r="E76" s="99"/>
      <c r="F76" s="4">
        <v>6</v>
      </c>
      <c r="G76" s="4">
        <v>16</v>
      </c>
      <c r="H76" s="4">
        <v>2</v>
      </c>
      <c r="I76" s="4">
        <v>1</v>
      </c>
      <c r="J76" s="4">
        <v>5</v>
      </c>
      <c r="K76" s="4">
        <v>12</v>
      </c>
      <c r="L76" s="4">
        <v>13</v>
      </c>
      <c r="M76" s="4">
        <v>3</v>
      </c>
      <c r="N76" s="4">
        <v>10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4">
        <v>0</v>
      </c>
      <c r="AM76" s="4">
        <v>0</v>
      </c>
      <c r="AN76" s="4">
        <v>0</v>
      </c>
      <c r="AO76" s="4">
        <v>0</v>
      </c>
      <c r="AP76" s="4">
        <v>0</v>
      </c>
      <c r="AQ76" s="4">
        <v>0</v>
      </c>
      <c r="AR76" s="4">
        <v>0</v>
      </c>
      <c r="AS76" s="4">
        <v>0</v>
      </c>
      <c r="AT76" s="4">
        <v>0</v>
      </c>
      <c r="AU76" s="4">
        <v>0</v>
      </c>
      <c r="AV76" s="4">
        <v>0</v>
      </c>
      <c r="AW76" s="4">
        <v>0</v>
      </c>
      <c r="AX76" s="4">
        <v>0</v>
      </c>
      <c r="AY76" s="4">
        <v>0</v>
      </c>
      <c r="AZ76" s="4">
        <v>0</v>
      </c>
      <c r="BA76" s="4">
        <v>0</v>
      </c>
      <c r="BB76" s="4">
        <v>0</v>
      </c>
      <c r="BC76" s="4">
        <v>0</v>
      </c>
      <c r="BD76" s="4">
        <v>0</v>
      </c>
      <c r="BE76" s="4">
        <v>0</v>
      </c>
      <c r="BF76" s="4">
        <v>0</v>
      </c>
      <c r="BG76" s="4">
        <v>0</v>
      </c>
      <c r="BH76" s="4">
        <v>0</v>
      </c>
      <c r="BI76" s="4">
        <v>0</v>
      </c>
      <c r="BJ76" s="4">
        <v>0</v>
      </c>
      <c r="BK76" s="4">
        <v>0</v>
      </c>
      <c r="BL76" s="4">
        <v>0</v>
      </c>
      <c r="BM76" s="4">
        <v>0</v>
      </c>
      <c r="BN76" s="4">
        <v>0</v>
      </c>
      <c r="BO76" s="4">
        <v>0</v>
      </c>
      <c r="BP76" s="4">
        <v>0</v>
      </c>
      <c r="BQ76" s="4">
        <v>0</v>
      </c>
      <c r="BV76" s="33" t="s">
        <v>48</v>
      </c>
      <c r="BW76" s="31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7"/>
    </row>
    <row r="77" spans="4:138" ht="16.149999999999999" thickBot="1" x14ac:dyDescent="0.55000000000000004">
      <c r="D77" s="100"/>
      <c r="E77" s="98" t="s">
        <v>12</v>
      </c>
      <c r="F77" s="4">
        <v>18</v>
      </c>
      <c r="G77" s="4">
        <v>45</v>
      </c>
      <c r="H77" s="4">
        <v>31</v>
      </c>
      <c r="I77" s="4">
        <v>41</v>
      </c>
      <c r="J77" s="4">
        <v>33</v>
      </c>
      <c r="K77" s="4">
        <v>7</v>
      </c>
      <c r="L77" s="4">
        <v>8</v>
      </c>
      <c r="M77" s="4">
        <v>15</v>
      </c>
      <c r="N77" s="4">
        <v>40</v>
      </c>
      <c r="O77" s="4">
        <v>11</v>
      </c>
      <c r="P77" s="4">
        <v>56</v>
      </c>
      <c r="Q77" s="4">
        <v>19</v>
      </c>
      <c r="R77" s="4">
        <v>14</v>
      </c>
      <c r="S77" s="4">
        <v>44</v>
      </c>
      <c r="T77" s="4">
        <v>51</v>
      </c>
      <c r="U77" s="4">
        <v>20</v>
      </c>
      <c r="V77" s="4">
        <v>32</v>
      </c>
      <c r="W77" s="4">
        <v>64</v>
      </c>
      <c r="X77" s="4">
        <v>34</v>
      </c>
      <c r="Y77" s="4">
        <v>29</v>
      </c>
      <c r="Z77" s="4">
        <v>4</v>
      </c>
      <c r="AA77" s="4">
        <v>28</v>
      </c>
      <c r="AB77" s="4">
        <v>9</v>
      </c>
      <c r="AC77" s="4">
        <v>62</v>
      </c>
      <c r="AD77" s="4">
        <v>46</v>
      </c>
      <c r="AE77" s="4">
        <v>63</v>
      </c>
      <c r="AF77" s="4">
        <v>39</v>
      </c>
      <c r="AG77" s="4">
        <v>48</v>
      </c>
      <c r="AH77" s="4">
        <v>35</v>
      </c>
      <c r="AI77" s="4">
        <v>21</v>
      </c>
      <c r="AJ77" s="4">
        <v>24</v>
      </c>
      <c r="AK77" s="4">
        <v>43</v>
      </c>
      <c r="AL77" s="4">
        <v>25</v>
      </c>
      <c r="AM77" s="4">
        <v>60</v>
      </c>
      <c r="AN77" s="4">
        <v>52</v>
      </c>
      <c r="AO77" s="4">
        <v>58</v>
      </c>
      <c r="AP77" s="4">
        <v>36</v>
      </c>
      <c r="AQ77" s="4">
        <v>42</v>
      </c>
      <c r="AR77" s="4">
        <v>57</v>
      </c>
      <c r="AS77" s="4">
        <v>23</v>
      </c>
      <c r="AT77" s="4">
        <v>50</v>
      </c>
      <c r="AU77" s="4">
        <v>30</v>
      </c>
      <c r="AV77" s="4">
        <v>22</v>
      </c>
      <c r="AW77" s="4">
        <v>37</v>
      </c>
      <c r="AX77" s="4">
        <v>47</v>
      </c>
      <c r="AY77" s="4">
        <v>59</v>
      </c>
      <c r="AZ77" s="4">
        <v>38</v>
      </c>
      <c r="BA77" s="4">
        <v>55</v>
      </c>
      <c r="BB77" s="4">
        <v>17</v>
      </c>
      <c r="BC77" s="4">
        <v>27</v>
      </c>
      <c r="BD77" s="4">
        <v>49</v>
      </c>
      <c r="BE77" s="4">
        <v>26</v>
      </c>
      <c r="BF77" s="4">
        <v>53</v>
      </c>
      <c r="BG77" s="4">
        <v>54</v>
      </c>
      <c r="BH77" s="4">
        <v>61</v>
      </c>
      <c r="BI77" s="4">
        <v>0</v>
      </c>
      <c r="BJ77" s="4">
        <v>0</v>
      </c>
      <c r="BK77" s="4">
        <v>0</v>
      </c>
      <c r="BL77" s="4">
        <v>0</v>
      </c>
      <c r="BM77" s="4">
        <v>0</v>
      </c>
      <c r="BN77" s="4">
        <v>0</v>
      </c>
      <c r="BO77" s="4">
        <v>0</v>
      </c>
      <c r="BP77" s="4">
        <v>0</v>
      </c>
      <c r="BQ77" s="4">
        <v>0</v>
      </c>
      <c r="BV77" s="34" t="s">
        <v>51</v>
      </c>
      <c r="BW77" s="32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  <c r="DM77" s="28"/>
      <c r="DN77" s="28"/>
      <c r="DO77" s="28"/>
      <c r="DP77" s="28"/>
      <c r="DQ77" s="28"/>
      <c r="DR77" s="28"/>
      <c r="DS77" s="28"/>
      <c r="DT77" s="28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9"/>
    </row>
    <row r="78" spans="4:138" ht="16.5" thickTop="1" thickBot="1" x14ac:dyDescent="0.55000000000000004">
      <c r="D78" s="101"/>
      <c r="E78" s="99"/>
      <c r="F78" s="4">
        <v>6</v>
      </c>
      <c r="G78" s="4">
        <v>16</v>
      </c>
      <c r="H78" s="4">
        <v>2</v>
      </c>
      <c r="I78" s="4">
        <v>1</v>
      </c>
      <c r="J78" s="4">
        <v>5</v>
      </c>
      <c r="K78" s="4">
        <v>12</v>
      </c>
      <c r="L78" s="4">
        <v>13</v>
      </c>
      <c r="M78" s="4">
        <v>3</v>
      </c>
      <c r="N78" s="4">
        <v>10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0</v>
      </c>
      <c r="AZ78" s="4">
        <v>0</v>
      </c>
      <c r="BA78" s="4">
        <v>0</v>
      </c>
      <c r="BB78" s="4">
        <v>0</v>
      </c>
      <c r="BC78" s="4">
        <v>0</v>
      </c>
      <c r="BD78" s="4">
        <v>0</v>
      </c>
      <c r="BE78" s="4">
        <v>0</v>
      </c>
      <c r="BF78" s="4">
        <v>0</v>
      </c>
      <c r="BG78" s="4">
        <v>0</v>
      </c>
      <c r="BH78" s="4">
        <v>0</v>
      </c>
      <c r="BI78" s="4">
        <v>0</v>
      </c>
      <c r="BJ78" s="4">
        <v>0</v>
      </c>
      <c r="BK78" s="4">
        <v>0</v>
      </c>
      <c r="BL78" s="4">
        <v>0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V78" s="33" t="s">
        <v>48</v>
      </c>
      <c r="BW78" s="31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7"/>
    </row>
    <row r="79" spans="4:138" ht="16.149999999999999" thickBot="1" x14ac:dyDescent="0.55000000000000004">
      <c r="D79" s="100"/>
      <c r="E79" s="98" t="s">
        <v>12</v>
      </c>
      <c r="F79" s="4">
        <v>45</v>
      </c>
      <c r="G79" s="4">
        <v>31</v>
      </c>
      <c r="H79" s="4">
        <v>41</v>
      </c>
      <c r="I79" s="4">
        <v>33</v>
      </c>
      <c r="J79" s="4">
        <v>7</v>
      </c>
      <c r="K79" s="4">
        <v>8</v>
      </c>
      <c r="L79" s="4">
        <v>15</v>
      </c>
      <c r="M79" s="4">
        <v>40</v>
      </c>
      <c r="N79" s="4">
        <v>11</v>
      </c>
      <c r="O79" s="4">
        <v>56</v>
      </c>
      <c r="P79" s="4">
        <v>19</v>
      </c>
      <c r="Q79" s="4">
        <v>14</v>
      </c>
      <c r="R79" s="4">
        <v>44</v>
      </c>
      <c r="S79" s="4">
        <v>51</v>
      </c>
      <c r="T79" s="4">
        <v>20</v>
      </c>
      <c r="U79" s="4">
        <v>32</v>
      </c>
      <c r="V79" s="4">
        <v>64</v>
      </c>
      <c r="W79" s="4">
        <v>34</v>
      </c>
      <c r="X79" s="4">
        <v>29</v>
      </c>
      <c r="Y79" s="4">
        <v>4</v>
      </c>
      <c r="Z79" s="4">
        <v>28</v>
      </c>
      <c r="AA79" s="4">
        <v>9</v>
      </c>
      <c r="AB79" s="4">
        <v>62</v>
      </c>
      <c r="AC79" s="4">
        <v>46</v>
      </c>
      <c r="AD79" s="4">
        <v>63</v>
      </c>
      <c r="AE79" s="4">
        <v>39</v>
      </c>
      <c r="AF79" s="4">
        <v>48</v>
      </c>
      <c r="AG79" s="4">
        <v>35</v>
      </c>
      <c r="AH79" s="4">
        <v>21</v>
      </c>
      <c r="AI79" s="4">
        <v>24</v>
      </c>
      <c r="AJ79" s="4">
        <v>43</v>
      </c>
      <c r="AK79" s="4">
        <v>25</v>
      </c>
      <c r="AL79" s="4">
        <v>60</v>
      </c>
      <c r="AM79" s="4">
        <v>52</v>
      </c>
      <c r="AN79" s="4">
        <v>58</v>
      </c>
      <c r="AO79" s="4">
        <v>36</v>
      </c>
      <c r="AP79" s="4">
        <v>42</v>
      </c>
      <c r="AQ79" s="4">
        <v>57</v>
      </c>
      <c r="AR79" s="4">
        <v>23</v>
      </c>
      <c r="AS79" s="4">
        <v>50</v>
      </c>
      <c r="AT79" s="4">
        <v>30</v>
      </c>
      <c r="AU79" s="4">
        <v>22</v>
      </c>
      <c r="AV79" s="4">
        <v>37</v>
      </c>
      <c r="AW79" s="4">
        <v>47</v>
      </c>
      <c r="AX79" s="4">
        <v>59</v>
      </c>
      <c r="AY79" s="4">
        <v>38</v>
      </c>
      <c r="AZ79" s="4">
        <v>55</v>
      </c>
      <c r="BA79" s="4">
        <v>17</v>
      </c>
      <c r="BB79" s="4">
        <v>27</v>
      </c>
      <c r="BC79" s="4">
        <v>49</v>
      </c>
      <c r="BD79" s="4">
        <v>26</v>
      </c>
      <c r="BE79" s="4">
        <v>53</v>
      </c>
      <c r="BF79" s="4">
        <v>54</v>
      </c>
      <c r="BG79" s="4">
        <v>61</v>
      </c>
      <c r="BH79" s="4">
        <v>18</v>
      </c>
      <c r="BI79" s="4">
        <v>0</v>
      </c>
      <c r="BJ79" s="4">
        <v>0</v>
      </c>
      <c r="BK79" s="4">
        <v>0</v>
      </c>
      <c r="BL79" s="4">
        <v>0</v>
      </c>
      <c r="BM79" s="4">
        <v>0</v>
      </c>
      <c r="BN79" s="4">
        <v>0</v>
      </c>
      <c r="BO79" s="4">
        <v>0</v>
      </c>
      <c r="BP79" s="4">
        <v>0</v>
      </c>
      <c r="BQ79" s="4">
        <v>0</v>
      </c>
      <c r="BV79" s="34" t="s">
        <v>51</v>
      </c>
      <c r="BW79" s="32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  <c r="DM79" s="28"/>
      <c r="DN79" s="28"/>
      <c r="DO79" s="28"/>
      <c r="DP79" s="28"/>
      <c r="DQ79" s="28"/>
      <c r="DR79" s="28"/>
      <c r="DS79" s="28"/>
      <c r="DT79" s="28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9"/>
    </row>
    <row r="80" spans="4:138" ht="16.5" thickTop="1" thickBot="1" x14ac:dyDescent="0.55000000000000004">
      <c r="D80" s="101"/>
      <c r="E80" s="99"/>
      <c r="F80" s="4">
        <v>6</v>
      </c>
      <c r="G80" s="4">
        <v>16</v>
      </c>
      <c r="H80" s="4">
        <v>2</v>
      </c>
      <c r="I80" s="4">
        <v>1</v>
      </c>
      <c r="J80" s="4">
        <v>5</v>
      </c>
      <c r="K80" s="4">
        <v>12</v>
      </c>
      <c r="L80" s="4">
        <v>13</v>
      </c>
      <c r="M80" s="4">
        <v>3</v>
      </c>
      <c r="N80" s="4">
        <v>10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0</v>
      </c>
      <c r="AP80" s="4">
        <v>0</v>
      </c>
      <c r="AQ80" s="4">
        <v>0</v>
      </c>
      <c r="AR80" s="4">
        <v>0</v>
      </c>
      <c r="AS80" s="4">
        <v>0</v>
      </c>
      <c r="AT80" s="4">
        <v>0</v>
      </c>
      <c r="AU80" s="4">
        <v>0</v>
      </c>
      <c r="AV80" s="4">
        <v>0</v>
      </c>
      <c r="AW80" s="4">
        <v>0</v>
      </c>
      <c r="AX80" s="4">
        <v>0</v>
      </c>
      <c r="AY80" s="4">
        <v>0</v>
      </c>
      <c r="AZ80" s="4">
        <v>0</v>
      </c>
      <c r="BA80" s="4">
        <v>0</v>
      </c>
      <c r="BB80" s="4">
        <v>0</v>
      </c>
      <c r="BC80" s="4">
        <v>0</v>
      </c>
      <c r="BD80" s="4">
        <v>0</v>
      </c>
      <c r="BE80" s="4">
        <v>0</v>
      </c>
      <c r="BF80" s="4">
        <v>0</v>
      </c>
      <c r="BG80" s="4">
        <v>0</v>
      </c>
      <c r="BH80" s="4">
        <v>0</v>
      </c>
      <c r="BI80" s="4">
        <v>0</v>
      </c>
      <c r="BJ80" s="4">
        <v>0</v>
      </c>
      <c r="BK80" s="4">
        <v>0</v>
      </c>
      <c r="BL80" s="4">
        <v>0</v>
      </c>
      <c r="BM80" s="4">
        <v>0</v>
      </c>
      <c r="BN80" s="4">
        <v>0</v>
      </c>
      <c r="BO80" s="4">
        <v>0</v>
      </c>
      <c r="BP80" s="4">
        <v>0</v>
      </c>
      <c r="BQ80" s="4">
        <v>0</v>
      </c>
      <c r="BV80" s="33" t="s">
        <v>48</v>
      </c>
      <c r="BW80" s="31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7"/>
    </row>
    <row r="81" spans="4:138" ht="16.149999999999999" thickBot="1" x14ac:dyDescent="0.55000000000000004">
      <c r="D81" s="100"/>
      <c r="E81" s="98" t="s">
        <v>12</v>
      </c>
      <c r="F81" s="4">
        <v>31</v>
      </c>
      <c r="G81" s="4">
        <v>41</v>
      </c>
      <c r="H81" s="4">
        <v>33</v>
      </c>
      <c r="I81" s="4">
        <v>7</v>
      </c>
      <c r="J81" s="4">
        <v>8</v>
      </c>
      <c r="K81" s="4">
        <v>15</v>
      </c>
      <c r="L81" s="4">
        <v>40</v>
      </c>
      <c r="M81" s="4">
        <v>11</v>
      </c>
      <c r="N81" s="4">
        <v>56</v>
      </c>
      <c r="O81" s="4">
        <v>19</v>
      </c>
      <c r="P81" s="4">
        <v>14</v>
      </c>
      <c r="Q81" s="4">
        <v>44</v>
      </c>
      <c r="R81" s="4">
        <v>51</v>
      </c>
      <c r="S81" s="4">
        <v>20</v>
      </c>
      <c r="T81" s="4">
        <v>32</v>
      </c>
      <c r="U81" s="4">
        <v>64</v>
      </c>
      <c r="V81" s="4">
        <v>34</v>
      </c>
      <c r="W81" s="4">
        <v>29</v>
      </c>
      <c r="X81" s="4">
        <v>4</v>
      </c>
      <c r="Y81" s="4">
        <v>28</v>
      </c>
      <c r="Z81" s="4">
        <v>9</v>
      </c>
      <c r="AA81" s="4">
        <v>62</v>
      </c>
      <c r="AB81" s="4">
        <v>46</v>
      </c>
      <c r="AC81" s="4">
        <v>63</v>
      </c>
      <c r="AD81" s="4">
        <v>39</v>
      </c>
      <c r="AE81" s="4">
        <v>48</v>
      </c>
      <c r="AF81" s="4">
        <v>35</v>
      </c>
      <c r="AG81" s="4">
        <v>21</v>
      </c>
      <c r="AH81" s="4">
        <v>24</v>
      </c>
      <c r="AI81" s="4">
        <v>43</v>
      </c>
      <c r="AJ81" s="4">
        <v>25</v>
      </c>
      <c r="AK81" s="4">
        <v>60</v>
      </c>
      <c r="AL81" s="4">
        <v>52</v>
      </c>
      <c r="AM81" s="4">
        <v>58</v>
      </c>
      <c r="AN81" s="4">
        <v>36</v>
      </c>
      <c r="AO81" s="4">
        <v>42</v>
      </c>
      <c r="AP81" s="4">
        <v>57</v>
      </c>
      <c r="AQ81" s="4">
        <v>23</v>
      </c>
      <c r="AR81" s="4">
        <v>50</v>
      </c>
      <c r="AS81" s="4">
        <v>30</v>
      </c>
      <c r="AT81" s="4">
        <v>22</v>
      </c>
      <c r="AU81" s="4">
        <v>37</v>
      </c>
      <c r="AV81" s="4">
        <v>47</v>
      </c>
      <c r="AW81" s="4">
        <v>59</v>
      </c>
      <c r="AX81" s="4">
        <v>38</v>
      </c>
      <c r="AY81" s="4">
        <v>55</v>
      </c>
      <c r="AZ81" s="4">
        <v>17</v>
      </c>
      <c r="BA81" s="4">
        <v>27</v>
      </c>
      <c r="BB81" s="4">
        <v>49</v>
      </c>
      <c r="BC81" s="4">
        <v>26</v>
      </c>
      <c r="BD81" s="4">
        <v>53</v>
      </c>
      <c r="BE81" s="4">
        <v>54</v>
      </c>
      <c r="BF81" s="4">
        <v>61</v>
      </c>
      <c r="BG81" s="4">
        <v>18</v>
      </c>
      <c r="BH81" s="4">
        <v>45</v>
      </c>
      <c r="BI81" s="4">
        <v>0</v>
      </c>
      <c r="BJ81" s="4">
        <v>0</v>
      </c>
      <c r="BK81" s="4">
        <v>0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V81" s="34" t="s">
        <v>51</v>
      </c>
      <c r="BW81" s="32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  <c r="DD81" s="28"/>
      <c r="DE81" s="28"/>
      <c r="DF81" s="28"/>
      <c r="DG81" s="28"/>
      <c r="DH81" s="28"/>
      <c r="DI81" s="28"/>
      <c r="DJ81" s="28"/>
      <c r="DK81" s="28"/>
      <c r="DL81" s="28"/>
      <c r="DM81" s="28"/>
      <c r="DN81" s="28"/>
      <c r="DO81" s="28"/>
      <c r="DP81" s="28"/>
      <c r="DQ81" s="28"/>
      <c r="DR81" s="28"/>
      <c r="DS81" s="28"/>
      <c r="DT81" s="28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9"/>
    </row>
    <row r="82" spans="4:138" ht="16.5" thickTop="1" thickBot="1" x14ac:dyDescent="0.55000000000000004">
      <c r="D82" s="101"/>
      <c r="E82" s="99"/>
      <c r="F82" s="4">
        <v>6</v>
      </c>
      <c r="G82" s="4">
        <v>16</v>
      </c>
      <c r="H82" s="4">
        <v>2</v>
      </c>
      <c r="I82" s="4">
        <v>1</v>
      </c>
      <c r="J82" s="4">
        <v>5</v>
      </c>
      <c r="K82" s="4">
        <v>12</v>
      </c>
      <c r="L82" s="4">
        <v>13</v>
      </c>
      <c r="M82" s="4">
        <v>3</v>
      </c>
      <c r="N82" s="4">
        <v>10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0</v>
      </c>
      <c r="AR82" s="4">
        <v>0</v>
      </c>
      <c r="AS82" s="4">
        <v>0</v>
      </c>
      <c r="AT82" s="4">
        <v>0</v>
      </c>
      <c r="AU82" s="4">
        <v>0</v>
      </c>
      <c r="AV82" s="4">
        <v>0</v>
      </c>
      <c r="AW82" s="4">
        <v>0</v>
      </c>
      <c r="AX82" s="4">
        <v>0</v>
      </c>
      <c r="AY82" s="4">
        <v>0</v>
      </c>
      <c r="AZ82" s="4">
        <v>0</v>
      </c>
      <c r="BA82" s="4">
        <v>0</v>
      </c>
      <c r="BB82" s="4">
        <v>0</v>
      </c>
      <c r="BC82" s="4">
        <v>0</v>
      </c>
      <c r="BD82" s="4">
        <v>0</v>
      </c>
      <c r="BE82" s="4">
        <v>0</v>
      </c>
      <c r="BF82" s="4">
        <v>0</v>
      </c>
      <c r="BG82" s="4">
        <v>0</v>
      </c>
      <c r="BH82" s="4">
        <v>0</v>
      </c>
      <c r="BI82" s="4">
        <v>0</v>
      </c>
      <c r="BJ82" s="4">
        <v>0</v>
      </c>
      <c r="BK82" s="4">
        <v>0</v>
      </c>
      <c r="BL82" s="4">
        <v>0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V82" s="33" t="s">
        <v>48</v>
      </c>
      <c r="BW82" s="31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7"/>
    </row>
    <row r="83" spans="4:138" ht="16.149999999999999" thickBot="1" x14ac:dyDescent="0.55000000000000004">
      <c r="D83" s="100"/>
      <c r="E83" s="98" t="s">
        <v>12</v>
      </c>
      <c r="F83" s="4">
        <v>41</v>
      </c>
      <c r="G83" s="4">
        <v>33</v>
      </c>
      <c r="H83" s="4">
        <v>7</v>
      </c>
      <c r="I83" s="4">
        <v>8</v>
      </c>
      <c r="J83" s="4">
        <v>15</v>
      </c>
      <c r="K83" s="4">
        <v>40</v>
      </c>
      <c r="L83" s="4">
        <v>11</v>
      </c>
      <c r="M83" s="4">
        <v>56</v>
      </c>
      <c r="N83" s="4">
        <v>19</v>
      </c>
      <c r="O83" s="4">
        <v>14</v>
      </c>
      <c r="P83" s="4">
        <v>44</v>
      </c>
      <c r="Q83" s="4">
        <v>51</v>
      </c>
      <c r="R83" s="4">
        <v>20</v>
      </c>
      <c r="S83" s="4">
        <v>32</v>
      </c>
      <c r="T83" s="4">
        <v>64</v>
      </c>
      <c r="U83" s="4">
        <v>34</v>
      </c>
      <c r="V83" s="4">
        <v>29</v>
      </c>
      <c r="W83" s="4">
        <v>4</v>
      </c>
      <c r="X83" s="4">
        <v>28</v>
      </c>
      <c r="Y83" s="4">
        <v>9</v>
      </c>
      <c r="Z83" s="4">
        <v>62</v>
      </c>
      <c r="AA83" s="4">
        <v>46</v>
      </c>
      <c r="AB83" s="4">
        <v>63</v>
      </c>
      <c r="AC83" s="4">
        <v>39</v>
      </c>
      <c r="AD83" s="4">
        <v>48</v>
      </c>
      <c r="AE83" s="4">
        <v>35</v>
      </c>
      <c r="AF83" s="4">
        <v>21</v>
      </c>
      <c r="AG83" s="4">
        <v>24</v>
      </c>
      <c r="AH83" s="4">
        <v>43</v>
      </c>
      <c r="AI83" s="4">
        <v>25</v>
      </c>
      <c r="AJ83" s="4">
        <v>60</v>
      </c>
      <c r="AK83" s="4">
        <v>52</v>
      </c>
      <c r="AL83" s="4">
        <v>58</v>
      </c>
      <c r="AM83" s="4">
        <v>36</v>
      </c>
      <c r="AN83" s="4">
        <v>42</v>
      </c>
      <c r="AO83" s="4">
        <v>57</v>
      </c>
      <c r="AP83" s="4">
        <v>23</v>
      </c>
      <c r="AQ83" s="4">
        <v>50</v>
      </c>
      <c r="AR83" s="4">
        <v>30</v>
      </c>
      <c r="AS83" s="4">
        <v>22</v>
      </c>
      <c r="AT83" s="4">
        <v>37</v>
      </c>
      <c r="AU83" s="4">
        <v>47</v>
      </c>
      <c r="AV83" s="4">
        <v>59</v>
      </c>
      <c r="AW83" s="4">
        <v>38</v>
      </c>
      <c r="AX83" s="4">
        <v>55</v>
      </c>
      <c r="AY83" s="4">
        <v>17</v>
      </c>
      <c r="AZ83" s="4">
        <v>27</v>
      </c>
      <c r="BA83" s="4">
        <v>49</v>
      </c>
      <c r="BB83" s="4">
        <v>26</v>
      </c>
      <c r="BC83" s="4">
        <v>53</v>
      </c>
      <c r="BD83" s="4">
        <v>54</v>
      </c>
      <c r="BE83" s="4">
        <v>61</v>
      </c>
      <c r="BF83" s="4">
        <v>18</v>
      </c>
      <c r="BG83" s="4">
        <v>45</v>
      </c>
      <c r="BH83" s="4">
        <v>31</v>
      </c>
      <c r="BI83" s="4">
        <v>0</v>
      </c>
      <c r="BJ83" s="4">
        <v>0</v>
      </c>
      <c r="BK83" s="4">
        <v>0</v>
      </c>
      <c r="BL83" s="4">
        <v>0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V83" s="34" t="s">
        <v>51</v>
      </c>
      <c r="BW83" s="32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28"/>
      <c r="DN83" s="28"/>
      <c r="DO83" s="28"/>
      <c r="DP83" s="28"/>
      <c r="DQ83" s="28"/>
      <c r="DR83" s="28"/>
      <c r="DS83" s="28"/>
      <c r="DT83" s="28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9"/>
    </row>
    <row r="84" spans="4:138" ht="16.5" thickTop="1" thickBot="1" x14ac:dyDescent="0.55000000000000004">
      <c r="D84" s="101"/>
      <c r="E84" s="99"/>
      <c r="F84" s="4">
        <v>6</v>
      </c>
      <c r="G84" s="4">
        <v>16</v>
      </c>
      <c r="H84" s="4">
        <v>2</v>
      </c>
      <c r="I84" s="4">
        <v>1</v>
      </c>
      <c r="J84" s="4">
        <v>5</v>
      </c>
      <c r="K84" s="4">
        <v>12</v>
      </c>
      <c r="L84" s="4">
        <v>13</v>
      </c>
      <c r="M84" s="4">
        <v>3</v>
      </c>
      <c r="N84" s="4">
        <v>10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4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4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4">
        <v>0</v>
      </c>
      <c r="BC84" s="4">
        <v>0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  <c r="BJ84" s="4">
        <v>0</v>
      </c>
      <c r="BK84" s="4">
        <v>0</v>
      </c>
      <c r="BL84" s="4">
        <v>0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V84" s="33" t="s">
        <v>48</v>
      </c>
      <c r="BW84" s="31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7"/>
    </row>
    <row r="85" spans="4:138" ht="16.149999999999999" thickBot="1" x14ac:dyDescent="0.55000000000000004">
      <c r="D85" s="100"/>
      <c r="E85" s="98" t="s">
        <v>12</v>
      </c>
      <c r="F85" s="4">
        <v>33</v>
      </c>
      <c r="G85" s="4">
        <v>7</v>
      </c>
      <c r="H85" s="4">
        <v>8</v>
      </c>
      <c r="I85" s="4">
        <v>15</v>
      </c>
      <c r="J85" s="4">
        <v>40</v>
      </c>
      <c r="K85" s="4">
        <v>11</v>
      </c>
      <c r="L85" s="4">
        <v>56</v>
      </c>
      <c r="M85" s="4">
        <v>19</v>
      </c>
      <c r="N85" s="4">
        <v>14</v>
      </c>
      <c r="O85" s="4">
        <v>44</v>
      </c>
      <c r="P85" s="4">
        <v>51</v>
      </c>
      <c r="Q85" s="4">
        <v>20</v>
      </c>
      <c r="R85" s="4">
        <v>32</v>
      </c>
      <c r="S85" s="4">
        <v>64</v>
      </c>
      <c r="T85" s="4">
        <v>34</v>
      </c>
      <c r="U85" s="4">
        <v>29</v>
      </c>
      <c r="V85" s="4">
        <v>4</v>
      </c>
      <c r="W85" s="4">
        <v>28</v>
      </c>
      <c r="X85" s="4">
        <v>9</v>
      </c>
      <c r="Y85" s="4">
        <v>62</v>
      </c>
      <c r="Z85" s="4">
        <v>46</v>
      </c>
      <c r="AA85" s="4">
        <v>63</v>
      </c>
      <c r="AB85" s="4">
        <v>39</v>
      </c>
      <c r="AC85" s="4">
        <v>48</v>
      </c>
      <c r="AD85" s="4">
        <v>35</v>
      </c>
      <c r="AE85" s="4">
        <v>21</v>
      </c>
      <c r="AF85" s="4">
        <v>24</v>
      </c>
      <c r="AG85" s="4">
        <v>43</v>
      </c>
      <c r="AH85" s="4">
        <v>25</v>
      </c>
      <c r="AI85" s="4">
        <v>60</v>
      </c>
      <c r="AJ85" s="4">
        <v>52</v>
      </c>
      <c r="AK85" s="4">
        <v>58</v>
      </c>
      <c r="AL85" s="4">
        <v>36</v>
      </c>
      <c r="AM85" s="4">
        <v>42</v>
      </c>
      <c r="AN85" s="4">
        <v>57</v>
      </c>
      <c r="AO85" s="4">
        <v>23</v>
      </c>
      <c r="AP85" s="4">
        <v>50</v>
      </c>
      <c r="AQ85" s="4">
        <v>30</v>
      </c>
      <c r="AR85" s="4">
        <v>22</v>
      </c>
      <c r="AS85" s="4">
        <v>37</v>
      </c>
      <c r="AT85" s="4">
        <v>47</v>
      </c>
      <c r="AU85" s="4">
        <v>59</v>
      </c>
      <c r="AV85" s="4">
        <v>38</v>
      </c>
      <c r="AW85" s="4">
        <v>55</v>
      </c>
      <c r="AX85" s="4">
        <v>17</v>
      </c>
      <c r="AY85" s="4">
        <v>27</v>
      </c>
      <c r="AZ85" s="4">
        <v>49</v>
      </c>
      <c r="BA85" s="4">
        <v>26</v>
      </c>
      <c r="BB85" s="4">
        <v>53</v>
      </c>
      <c r="BC85" s="4">
        <v>54</v>
      </c>
      <c r="BD85" s="4">
        <v>61</v>
      </c>
      <c r="BE85" s="4">
        <v>18</v>
      </c>
      <c r="BF85" s="4">
        <v>45</v>
      </c>
      <c r="BG85" s="4">
        <v>31</v>
      </c>
      <c r="BH85" s="4">
        <v>41</v>
      </c>
      <c r="BI85" s="4">
        <v>0</v>
      </c>
      <c r="BJ85" s="4">
        <v>0</v>
      </c>
      <c r="BK85" s="4">
        <v>0</v>
      </c>
      <c r="BL85" s="4">
        <v>0</v>
      </c>
      <c r="BM85" s="4">
        <v>0</v>
      </c>
      <c r="BN85" s="4">
        <v>0</v>
      </c>
      <c r="BO85" s="4">
        <v>0</v>
      </c>
      <c r="BP85" s="4">
        <v>0</v>
      </c>
      <c r="BQ85" s="4">
        <v>0</v>
      </c>
      <c r="BV85" s="34" t="s">
        <v>51</v>
      </c>
      <c r="BW85" s="32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  <c r="DG85" s="28"/>
      <c r="DH85" s="28"/>
      <c r="DI85" s="28"/>
      <c r="DJ85" s="28"/>
      <c r="DK85" s="28"/>
      <c r="DL85" s="28"/>
      <c r="DM85" s="28"/>
      <c r="DN85" s="28"/>
      <c r="DO85" s="28"/>
      <c r="DP85" s="28"/>
      <c r="DQ85" s="28"/>
      <c r="DR85" s="28"/>
      <c r="DS85" s="28"/>
      <c r="DT85" s="28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9"/>
    </row>
    <row r="86" spans="4:138" ht="16.5" thickTop="1" thickBot="1" x14ac:dyDescent="0.55000000000000004">
      <c r="D86" s="101"/>
      <c r="E86" s="99"/>
      <c r="F86" s="4">
        <v>6</v>
      </c>
      <c r="G86" s="4">
        <v>16</v>
      </c>
      <c r="H86" s="4">
        <v>2</v>
      </c>
      <c r="I86" s="4">
        <v>1</v>
      </c>
      <c r="J86" s="4">
        <v>5</v>
      </c>
      <c r="K86" s="4">
        <v>12</v>
      </c>
      <c r="L86" s="4">
        <v>13</v>
      </c>
      <c r="M86" s="4">
        <v>3</v>
      </c>
      <c r="N86" s="4">
        <v>10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0</v>
      </c>
      <c r="AN86" s="4">
        <v>0</v>
      </c>
      <c r="AO86" s="4">
        <v>0</v>
      </c>
      <c r="AP86" s="4">
        <v>0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>
        <v>0</v>
      </c>
      <c r="AW86" s="4">
        <v>0</v>
      </c>
      <c r="AX86" s="4">
        <v>0</v>
      </c>
      <c r="AY86" s="4">
        <v>0</v>
      </c>
      <c r="AZ86" s="4">
        <v>0</v>
      </c>
      <c r="BA86" s="4">
        <v>0</v>
      </c>
      <c r="BB86" s="4">
        <v>0</v>
      </c>
      <c r="BC86" s="4">
        <v>0</v>
      </c>
      <c r="BD86" s="4">
        <v>0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4">
        <v>0</v>
      </c>
      <c r="BK86" s="4">
        <v>0</v>
      </c>
      <c r="BL86" s="4">
        <v>0</v>
      </c>
      <c r="BM86" s="4">
        <v>0</v>
      </c>
      <c r="BN86" s="4">
        <v>0</v>
      </c>
      <c r="BO86" s="4">
        <v>0</v>
      </c>
      <c r="BP86" s="4">
        <v>0</v>
      </c>
      <c r="BQ86" s="4">
        <v>0</v>
      </c>
      <c r="BV86" s="33" t="s">
        <v>48</v>
      </c>
      <c r="BW86" s="31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7"/>
    </row>
    <row r="87" spans="4:138" ht="16.149999999999999" thickBot="1" x14ac:dyDescent="0.55000000000000004">
      <c r="D87" s="100"/>
      <c r="E87" s="98" t="s">
        <v>12</v>
      </c>
      <c r="F87" s="4">
        <v>7</v>
      </c>
      <c r="G87" s="4">
        <v>8</v>
      </c>
      <c r="H87" s="4">
        <v>15</v>
      </c>
      <c r="I87" s="4">
        <v>40</v>
      </c>
      <c r="J87" s="4">
        <v>11</v>
      </c>
      <c r="K87" s="4">
        <v>56</v>
      </c>
      <c r="L87" s="4">
        <v>19</v>
      </c>
      <c r="M87" s="4">
        <v>14</v>
      </c>
      <c r="N87" s="4">
        <v>44</v>
      </c>
      <c r="O87" s="4">
        <v>51</v>
      </c>
      <c r="P87" s="4">
        <v>20</v>
      </c>
      <c r="Q87" s="4">
        <v>32</v>
      </c>
      <c r="R87" s="4">
        <v>64</v>
      </c>
      <c r="S87" s="4">
        <v>34</v>
      </c>
      <c r="T87" s="4">
        <v>29</v>
      </c>
      <c r="U87" s="4">
        <v>4</v>
      </c>
      <c r="V87" s="4">
        <v>28</v>
      </c>
      <c r="W87" s="4">
        <v>9</v>
      </c>
      <c r="X87" s="4">
        <v>62</v>
      </c>
      <c r="Y87" s="4">
        <v>46</v>
      </c>
      <c r="Z87" s="4">
        <v>63</v>
      </c>
      <c r="AA87" s="4">
        <v>39</v>
      </c>
      <c r="AB87" s="4">
        <v>48</v>
      </c>
      <c r="AC87" s="4">
        <v>35</v>
      </c>
      <c r="AD87" s="4">
        <v>21</v>
      </c>
      <c r="AE87" s="4">
        <v>24</v>
      </c>
      <c r="AF87" s="4">
        <v>43</v>
      </c>
      <c r="AG87" s="4">
        <v>25</v>
      </c>
      <c r="AH87" s="4">
        <v>60</v>
      </c>
      <c r="AI87" s="4">
        <v>52</v>
      </c>
      <c r="AJ87" s="4">
        <v>58</v>
      </c>
      <c r="AK87" s="4">
        <v>36</v>
      </c>
      <c r="AL87" s="4">
        <v>42</v>
      </c>
      <c r="AM87" s="4">
        <v>57</v>
      </c>
      <c r="AN87" s="4">
        <v>23</v>
      </c>
      <c r="AO87" s="4">
        <v>50</v>
      </c>
      <c r="AP87" s="4">
        <v>30</v>
      </c>
      <c r="AQ87" s="4">
        <v>22</v>
      </c>
      <c r="AR87" s="4">
        <v>37</v>
      </c>
      <c r="AS87" s="4">
        <v>47</v>
      </c>
      <c r="AT87" s="4">
        <v>59</v>
      </c>
      <c r="AU87" s="4">
        <v>38</v>
      </c>
      <c r="AV87" s="4">
        <v>55</v>
      </c>
      <c r="AW87" s="4">
        <v>17</v>
      </c>
      <c r="AX87" s="4">
        <v>27</v>
      </c>
      <c r="AY87" s="4">
        <v>49</v>
      </c>
      <c r="AZ87" s="4">
        <v>26</v>
      </c>
      <c r="BA87" s="4">
        <v>53</v>
      </c>
      <c r="BB87" s="4">
        <v>54</v>
      </c>
      <c r="BC87" s="4">
        <v>61</v>
      </c>
      <c r="BD87" s="4">
        <v>18</v>
      </c>
      <c r="BE87" s="4">
        <v>45</v>
      </c>
      <c r="BF87" s="4">
        <v>31</v>
      </c>
      <c r="BG87" s="4">
        <v>41</v>
      </c>
      <c r="BH87" s="4">
        <v>33</v>
      </c>
      <c r="BI87" s="4">
        <v>0</v>
      </c>
      <c r="BJ87" s="4">
        <v>0</v>
      </c>
      <c r="BK87" s="4">
        <v>0</v>
      </c>
      <c r="BL87" s="4">
        <v>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V87" s="34" t="s">
        <v>51</v>
      </c>
      <c r="BW87" s="32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  <c r="DD87" s="28"/>
      <c r="DE87" s="28"/>
      <c r="DF87" s="28"/>
      <c r="DG87" s="28"/>
      <c r="DH87" s="28"/>
      <c r="DI87" s="28"/>
      <c r="DJ87" s="28"/>
      <c r="DK87" s="28"/>
      <c r="DL87" s="28"/>
      <c r="DM87" s="28"/>
      <c r="DN87" s="28"/>
      <c r="DO87" s="28"/>
      <c r="DP87" s="28"/>
      <c r="DQ87" s="28"/>
      <c r="DR87" s="28"/>
      <c r="DS87" s="28"/>
      <c r="DT87" s="28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9"/>
    </row>
    <row r="88" spans="4:138" ht="16.5" thickTop="1" thickBot="1" x14ac:dyDescent="0.55000000000000004">
      <c r="D88" s="101"/>
      <c r="E88" s="99"/>
      <c r="F88" s="4">
        <v>6</v>
      </c>
      <c r="G88" s="4">
        <v>16</v>
      </c>
      <c r="H88" s="4">
        <v>2</v>
      </c>
      <c r="I88" s="4">
        <v>1</v>
      </c>
      <c r="J88" s="4">
        <v>5</v>
      </c>
      <c r="K88" s="4">
        <v>12</v>
      </c>
      <c r="L88" s="4">
        <v>13</v>
      </c>
      <c r="M88" s="4">
        <v>3</v>
      </c>
      <c r="N88" s="4">
        <v>10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4">
        <v>0</v>
      </c>
      <c r="AN88" s="4">
        <v>0</v>
      </c>
      <c r="AO88" s="4">
        <v>0</v>
      </c>
      <c r="AP88" s="4">
        <v>0</v>
      </c>
      <c r="AQ88" s="4">
        <v>0</v>
      </c>
      <c r="AR88" s="4">
        <v>0</v>
      </c>
      <c r="AS88" s="4">
        <v>0</v>
      </c>
      <c r="AT88" s="4">
        <v>0</v>
      </c>
      <c r="AU88" s="4">
        <v>0</v>
      </c>
      <c r="AV88" s="4">
        <v>0</v>
      </c>
      <c r="AW88" s="4">
        <v>0</v>
      </c>
      <c r="AX88" s="4">
        <v>0</v>
      </c>
      <c r="AY88" s="4">
        <v>0</v>
      </c>
      <c r="AZ88" s="4">
        <v>0</v>
      </c>
      <c r="BA88" s="4">
        <v>0</v>
      </c>
      <c r="BB88" s="4">
        <v>0</v>
      </c>
      <c r="BC88" s="4">
        <v>0</v>
      </c>
      <c r="BD88" s="4">
        <v>0</v>
      </c>
      <c r="BE88" s="4">
        <v>0</v>
      </c>
      <c r="BF88" s="4">
        <v>0</v>
      </c>
      <c r="BG88" s="4">
        <v>0</v>
      </c>
      <c r="BH88" s="4">
        <v>0</v>
      </c>
      <c r="BI88" s="4">
        <v>0</v>
      </c>
      <c r="BJ88" s="4">
        <v>0</v>
      </c>
      <c r="BK88" s="4">
        <v>0</v>
      </c>
      <c r="BL88" s="4">
        <v>0</v>
      </c>
      <c r="BM88" s="4">
        <v>0</v>
      </c>
      <c r="BN88" s="4">
        <v>0</v>
      </c>
      <c r="BO88" s="4">
        <v>0</v>
      </c>
      <c r="BP88" s="4">
        <v>0</v>
      </c>
      <c r="BQ88" s="4">
        <v>0</v>
      </c>
      <c r="BV88" s="33" t="s">
        <v>48</v>
      </c>
      <c r="BW88" s="31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7"/>
    </row>
    <row r="89" spans="4:138" ht="16.149999999999999" thickBot="1" x14ac:dyDescent="0.55000000000000004">
      <c r="D89" s="100"/>
      <c r="E89" s="98" t="s">
        <v>13</v>
      </c>
      <c r="F89" s="4">
        <v>8</v>
      </c>
      <c r="G89" s="4">
        <v>15</v>
      </c>
      <c r="H89" s="4">
        <v>40</v>
      </c>
      <c r="I89" s="4">
        <v>11</v>
      </c>
      <c r="J89" s="4">
        <v>56</v>
      </c>
      <c r="K89" s="4">
        <v>19</v>
      </c>
      <c r="L89" s="4">
        <v>14</v>
      </c>
      <c r="M89" s="4">
        <v>44</v>
      </c>
      <c r="N89" s="4">
        <v>51</v>
      </c>
      <c r="O89" s="4">
        <v>20</v>
      </c>
      <c r="P89" s="4">
        <v>32</v>
      </c>
      <c r="Q89" s="4">
        <v>64</v>
      </c>
      <c r="R89" s="4">
        <v>34</v>
      </c>
      <c r="S89" s="4">
        <v>29</v>
      </c>
      <c r="T89" s="4">
        <v>4</v>
      </c>
      <c r="U89" s="4">
        <v>28</v>
      </c>
      <c r="V89" s="4">
        <v>9</v>
      </c>
      <c r="W89" s="4">
        <v>62</v>
      </c>
      <c r="X89" s="4">
        <v>46</v>
      </c>
      <c r="Y89" s="4">
        <v>63</v>
      </c>
      <c r="Z89" s="4">
        <v>39</v>
      </c>
      <c r="AA89" s="4">
        <v>48</v>
      </c>
      <c r="AB89" s="4">
        <v>35</v>
      </c>
      <c r="AC89" s="4">
        <v>21</v>
      </c>
      <c r="AD89" s="4">
        <v>24</v>
      </c>
      <c r="AE89" s="4">
        <v>43</v>
      </c>
      <c r="AF89" s="4">
        <v>25</v>
      </c>
      <c r="AG89" s="4">
        <v>60</v>
      </c>
      <c r="AH89" s="4">
        <v>52</v>
      </c>
      <c r="AI89" s="4">
        <v>58</v>
      </c>
      <c r="AJ89" s="4">
        <v>36</v>
      </c>
      <c r="AK89" s="4">
        <v>42</v>
      </c>
      <c r="AL89" s="4">
        <v>57</v>
      </c>
      <c r="AM89" s="4">
        <v>23</v>
      </c>
      <c r="AN89" s="4">
        <v>50</v>
      </c>
      <c r="AO89" s="4">
        <v>30</v>
      </c>
      <c r="AP89" s="4">
        <v>22</v>
      </c>
      <c r="AQ89" s="4">
        <v>37</v>
      </c>
      <c r="AR89" s="4">
        <v>47</v>
      </c>
      <c r="AS89" s="4">
        <v>59</v>
      </c>
      <c r="AT89" s="4">
        <v>38</v>
      </c>
      <c r="AU89" s="4">
        <v>55</v>
      </c>
      <c r="AV89" s="4">
        <v>17</v>
      </c>
      <c r="AW89" s="4">
        <v>27</v>
      </c>
      <c r="AX89" s="4">
        <v>49</v>
      </c>
      <c r="AY89" s="4">
        <v>26</v>
      </c>
      <c r="AZ89" s="4">
        <v>53</v>
      </c>
      <c r="BA89" s="4">
        <v>54</v>
      </c>
      <c r="BB89" s="4">
        <v>61</v>
      </c>
      <c r="BC89" s="4">
        <v>18</v>
      </c>
      <c r="BD89" s="4">
        <v>45</v>
      </c>
      <c r="BE89" s="4">
        <v>31</v>
      </c>
      <c r="BF89" s="4">
        <v>41</v>
      </c>
      <c r="BG89" s="4">
        <v>33</v>
      </c>
      <c r="BH89" s="4">
        <v>0</v>
      </c>
      <c r="BI89" s="4">
        <v>0</v>
      </c>
      <c r="BJ89" s="4">
        <v>0</v>
      </c>
      <c r="BK89" s="4">
        <v>0</v>
      </c>
      <c r="BL89" s="4">
        <v>0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V89" s="34" t="s">
        <v>51</v>
      </c>
      <c r="BW89" s="32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  <c r="DD89" s="28"/>
      <c r="DE89" s="28"/>
      <c r="DF89" s="28"/>
      <c r="DG89" s="28"/>
      <c r="DH89" s="28"/>
      <c r="DI89" s="28"/>
      <c r="DJ89" s="28"/>
      <c r="DK89" s="28"/>
      <c r="DL89" s="28"/>
      <c r="DM89" s="28"/>
      <c r="DN89" s="28"/>
      <c r="DO89" s="28"/>
      <c r="DP89" s="28"/>
      <c r="DQ89" s="28"/>
      <c r="DR89" s="28"/>
      <c r="DS89" s="28"/>
      <c r="DT89" s="28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9"/>
    </row>
    <row r="90" spans="4:138" ht="16.5" thickTop="1" thickBot="1" x14ac:dyDescent="0.55000000000000004">
      <c r="D90" s="101"/>
      <c r="E90" s="99"/>
      <c r="F90" s="4">
        <v>7</v>
      </c>
      <c r="G90" s="4">
        <v>6</v>
      </c>
      <c r="H90" s="4">
        <v>16</v>
      </c>
      <c r="I90" s="4">
        <v>2</v>
      </c>
      <c r="J90" s="4">
        <v>1</v>
      </c>
      <c r="K90" s="4">
        <v>5</v>
      </c>
      <c r="L90" s="4">
        <v>12</v>
      </c>
      <c r="M90" s="4">
        <v>13</v>
      </c>
      <c r="N90" s="4">
        <v>3</v>
      </c>
      <c r="O90" s="4">
        <v>10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4">
        <v>0</v>
      </c>
      <c r="BC90" s="4">
        <v>0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4">
        <v>0</v>
      </c>
      <c r="BJ90" s="4">
        <v>0</v>
      </c>
      <c r="BK90" s="4">
        <v>0</v>
      </c>
      <c r="BL90" s="4">
        <v>0</v>
      </c>
      <c r="BM90" s="4">
        <v>0</v>
      </c>
      <c r="BN90" s="4">
        <v>0</v>
      </c>
      <c r="BO90" s="4">
        <v>0</v>
      </c>
      <c r="BP90" s="4">
        <v>0</v>
      </c>
      <c r="BQ90" s="4">
        <v>0</v>
      </c>
      <c r="BV90" s="33" t="s">
        <v>48</v>
      </c>
      <c r="BW90" s="31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7"/>
    </row>
    <row r="91" spans="4:138" ht="16.149999999999999" thickBot="1" x14ac:dyDescent="0.55000000000000004">
      <c r="D91" s="100"/>
      <c r="E91" s="98" t="s">
        <v>13</v>
      </c>
      <c r="F91" s="4">
        <v>15</v>
      </c>
      <c r="G91" s="4">
        <v>40</v>
      </c>
      <c r="H91" s="4">
        <v>11</v>
      </c>
      <c r="I91" s="4">
        <v>56</v>
      </c>
      <c r="J91" s="4">
        <v>19</v>
      </c>
      <c r="K91" s="4">
        <v>14</v>
      </c>
      <c r="L91" s="4">
        <v>44</v>
      </c>
      <c r="M91" s="4">
        <v>51</v>
      </c>
      <c r="N91" s="4">
        <v>20</v>
      </c>
      <c r="O91" s="4">
        <v>32</v>
      </c>
      <c r="P91" s="4">
        <v>64</v>
      </c>
      <c r="Q91" s="4">
        <v>34</v>
      </c>
      <c r="R91" s="4">
        <v>29</v>
      </c>
      <c r="S91" s="4">
        <v>4</v>
      </c>
      <c r="T91" s="4">
        <v>28</v>
      </c>
      <c r="U91" s="4">
        <v>9</v>
      </c>
      <c r="V91" s="4">
        <v>62</v>
      </c>
      <c r="W91" s="4">
        <v>46</v>
      </c>
      <c r="X91" s="4">
        <v>63</v>
      </c>
      <c r="Y91" s="4">
        <v>39</v>
      </c>
      <c r="Z91" s="4">
        <v>48</v>
      </c>
      <c r="AA91" s="4">
        <v>35</v>
      </c>
      <c r="AB91" s="4">
        <v>21</v>
      </c>
      <c r="AC91" s="4">
        <v>24</v>
      </c>
      <c r="AD91" s="4">
        <v>43</v>
      </c>
      <c r="AE91" s="4">
        <v>25</v>
      </c>
      <c r="AF91" s="4">
        <v>60</v>
      </c>
      <c r="AG91" s="4">
        <v>52</v>
      </c>
      <c r="AH91" s="4">
        <v>58</v>
      </c>
      <c r="AI91" s="4">
        <v>36</v>
      </c>
      <c r="AJ91" s="4">
        <v>42</v>
      </c>
      <c r="AK91" s="4">
        <v>57</v>
      </c>
      <c r="AL91" s="4">
        <v>23</v>
      </c>
      <c r="AM91" s="4">
        <v>50</v>
      </c>
      <c r="AN91" s="4">
        <v>30</v>
      </c>
      <c r="AO91" s="4">
        <v>22</v>
      </c>
      <c r="AP91" s="4">
        <v>37</v>
      </c>
      <c r="AQ91" s="4">
        <v>47</v>
      </c>
      <c r="AR91" s="4">
        <v>59</v>
      </c>
      <c r="AS91" s="4">
        <v>38</v>
      </c>
      <c r="AT91" s="4">
        <v>55</v>
      </c>
      <c r="AU91" s="4">
        <v>17</v>
      </c>
      <c r="AV91" s="4">
        <v>27</v>
      </c>
      <c r="AW91" s="4">
        <v>49</v>
      </c>
      <c r="AX91" s="4">
        <v>26</v>
      </c>
      <c r="AY91" s="4">
        <v>53</v>
      </c>
      <c r="AZ91" s="4">
        <v>54</v>
      </c>
      <c r="BA91" s="4">
        <v>61</v>
      </c>
      <c r="BB91" s="4">
        <v>18</v>
      </c>
      <c r="BC91" s="4">
        <v>45</v>
      </c>
      <c r="BD91" s="4">
        <v>31</v>
      </c>
      <c r="BE91" s="4">
        <v>41</v>
      </c>
      <c r="BF91" s="4">
        <v>33</v>
      </c>
      <c r="BG91" s="4">
        <v>0</v>
      </c>
      <c r="BH91" s="4">
        <v>0</v>
      </c>
      <c r="BI91" s="4">
        <v>0</v>
      </c>
      <c r="BJ91" s="4">
        <v>0</v>
      </c>
      <c r="BK91" s="4">
        <v>0</v>
      </c>
      <c r="BL91" s="4">
        <v>0</v>
      </c>
      <c r="BM91" s="4">
        <v>0</v>
      </c>
      <c r="BN91" s="4">
        <v>0</v>
      </c>
      <c r="BO91" s="4">
        <v>0</v>
      </c>
      <c r="BP91" s="4">
        <v>0</v>
      </c>
      <c r="BQ91" s="4">
        <v>0</v>
      </c>
      <c r="BV91" s="34" t="s">
        <v>51</v>
      </c>
      <c r="BW91" s="32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  <c r="DD91" s="28"/>
      <c r="DE91" s="28"/>
      <c r="DF91" s="28"/>
      <c r="DG91" s="28"/>
      <c r="DH91" s="28"/>
      <c r="DI91" s="28"/>
      <c r="DJ91" s="28"/>
      <c r="DK91" s="28"/>
      <c r="DL91" s="28"/>
      <c r="DM91" s="28"/>
      <c r="DN91" s="28"/>
      <c r="DO91" s="28"/>
      <c r="DP91" s="28"/>
      <c r="DQ91" s="28"/>
      <c r="DR91" s="28"/>
      <c r="DS91" s="28"/>
      <c r="DT91" s="28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9"/>
    </row>
    <row r="92" spans="4:138" ht="16.5" thickTop="1" thickBot="1" x14ac:dyDescent="0.55000000000000004">
      <c r="D92" s="101"/>
      <c r="E92" s="99"/>
      <c r="F92" s="4">
        <v>8</v>
      </c>
      <c r="G92" s="4">
        <v>7</v>
      </c>
      <c r="H92" s="4">
        <v>6</v>
      </c>
      <c r="I92" s="4">
        <v>16</v>
      </c>
      <c r="J92" s="4">
        <v>2</v>
      </c>
      <c r="K92" s="4">
        <v>1</v>
      </c>
      <c r="L92" s="4">
        <v>5</v>
      </c>
      <c r="M92" s="4">
        <v>12</v>
      </c>
      <c r="N92" s="4">
        <v>13</v>
      </c>
      <c r="O92" s="4">
        <v>3</v>
      </c>
      <c r="P92" s="4">
        <v>10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4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4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  <c r="BB92" s="4">
        <v>0</v>
      </c>
      <c r="BC92" s="4">
        <v>0</v>
      </c>
      <c r="BD92" s="4">
        <v>0</v>
      </c>
      <c r="BE92" s="4">
        <v>0</v>
      </c>
      <c r="BF92" s="4">
        <v>0</v>
      </c>
      <c r="BG92" s="4">
        <v>0</v>
      </c>
      <c r="BH92" s="4">
        <v>0</v>
      </c>
      <c r="BI92" s="4">
        <v>0</v>
      </c>
      <c r="BJ92" s="4">
        <v>0</v>
      </c>
      <c r="BK92" s="4">
        <v>0</v>
      </c>
      <c r="BL92" s="4">
        <v>0</v>
      </c>
      <c r="BM92" s="4">
        <v>0</v>
      </c>
      <c r="BN92" s="4">
        <v>0</v>
      </c>
      <c r="BO92" s="4">
        <v>0</v>
      </c>
      <c r="BP92" s="4">
        <v>0</v>
      </c>
      <c r="BQ92" s="4">
        <v>0</v>
      </c>
      <c r="BV92" s="33" t="s">
        <v>48</v>
      </c>
      <c r="BW92" s="31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7"/>
    </row>
    <row r="93" spans="4:138" ht="16.149999999999999" thickBot="1" x14ac:dyDescent="0.55000000000000004">
      <c r="D93" s="100"/>
      <c r="E93" s="98" t="s">
        <v>13</v>
      </c>
      <c r="F93" s="4">
        <v>40</v>
      </c>
      <c r="G93" s="4">
        <v>11</v>
      </c>
      <c r="H93" s="4">
        <v>56</v>
      </c>
      <c r="I93" s="4">
        <v>19</v>
      </c>
      <c r="J93" s="4">
        <v>14</v>
      </c>
      <c r="K93" s="4">
        <v>44</v>
      </c>
      <c r="L93" s="4">
        <v>51</v>
      </c>
      <c r="M93" s="4">
        <v>20</v>
      </c>
      <c r="N93" s="4">
        <v>32</v>
      </c>
      <c r="O93" s="4">
        <v>64</v>
      </c>
      <c r="P93" s="4">
        <v>34</v>
      </c>
      <c r="Q93" s="4">
        <v>29</v>
      </c>
      <c r="R93" s="4">
        <v>4</v>
      </c>
      <c r="S93" s="4">
        <v>28</v>
      </c>
      <c r="T93" s="4">
        <v>9</v>
      </c>
      <c r="U93" s="4">
        <v>62</v>
      </c>
      <c r="V93" s="4">
        <v>46</v>
      </c>
      <c r="W93" s="4">
        <v>63</v>
      </c>
      <c r="X93" s="4">
        <v>39</v>
      </c>
      <c r="Y93" s="4">
        <v>48</v>
      </c>
      <c r="Z93" s="4">
        <v>35</v>
      </c>
      <c r="AA93" s="4">
        <v>21</v>
      </c>
      <c r="AB93" s="4">
        <v>24</v>
      </c>
      <c r="AC93" s="4">
        <v>43</v>
      </c>
      <c r="AD93" s="4">
        <v>25</v>
      </c>
      <c r="AE93" s="4">
        <v>60</v>
      </c>
      <c r="AF93" s="4">
        <v>52</v>
      </c>
      <c r="AG93" s="4">
        <v>58</v>
      </c>
      <c r="AH93" s="4">
        <v>36</v>
      </c>
      <c r="AI93" s="4">
        <v>42</v>
      </c>
      <c r="AJ93" s="4">
        <v>57</v>
      </c>
      <c r="AK93" s="4">
        <v>23</v>
      </c>
      <c r="AL93" s="4">
        <v>50</v>
      </c>
      <c r="AM93" s="4">
        <v>30</v>
      </c>
      <c r="AN93" s="4">
        <v>22</v>
      </c>
      <c r="AO93" s="4">
        <v>37</v>
      </c>
      <c r="AP93" s="4">
        <v>47</v>
      </c>
      <c r="AQ93" s="4">
        <v>59</v>
      </c>
      <c r="AR93" s="4">
        <v>38</v>
      </c>
      <c r="AS93" s="4">
        <v>55</v>
      </c>
      <c r="AT93" s="4">
        <v>17</v>
      </c>
      <c r="AU93" s="4">
        <v>27</v>
      </c>
      <c r="AV93" s="4">
        <v>49</v>
      </c>
      <c r="AW93" s="4">
        <v>26</v>
      </c>
      <c r="AX93" s="4">
        <v>53</v>
      </c>
      <c r="AY93" s="4">
        <v>54</v>
      </c>
      <c r="AZ93" s="4">
        <v>61</v>
      </c>
      <c r="BA93" s="4">
        <v>18</v>
      </c>
      <c r="BB93" s="4">
        <v>45</v>
      </c>
      <c r="BC93" s="4">
        <v>31</v>
      </c>
      <c r="BD93" s="4">
        <v>41</v>
      </c>
      <c r="BE93" s="4">
        <v>33</v>
      </c>
      <c r="BF93" s="4">
        <v>0</v>
      </c>
      <c r="BG93" s="4">
        <v>0</v>
      </c>
      <c r="BH93" s="4">
        <v>0</v>
      </c>
      <c r="BI93" s="4">
        <v>0</v>
      </c>
      <c r="BJ93" s="4">
        <v>0</v>
      </c>
      <c r="BK93" s="4">
        <v>0</v>
      </c>
      <c r="BL93" s="4">
        <v>0</v>
      </c>
      <c r="BM93" s="4">
        <v>0</v>
      </c>
      <c r="BN93" s="4">
        <v>0</v>
      </c>
      <c r="BO93" s="4">
        <v>0</v>
      </c>
      <c r="BP93" s="4">
        <v>0</v>
      </c>
      <c r="BQ93" s="4">
        <v>0</v>
      </c>
      <c r="BV93" s="34" t="s">
        <v>51</v>
      </c>
      <c r="BW93" s="32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9"/>
    </row>
    <row r="94" spans="4:138" ht="16.5" thickTop="1" thickBot="1" x14ac:dyDescent="0.55000000000000004">
      <c r="D94" s="101"/>
      <c r="E94" s="99"/>
      <c r="F94" s="4">
        <v>15</v>
      </c>
      <c r="G94" s="4">
        <v>8</v>
      </c>
      <c r="H94" s="4">
        <v>7</v>
      </c>
      <c r="I94" s="4">
        <v>6</v>
      </c>
      <c r="J94" s="4">
        <v>16</v>
      </c>
      <c r="K94" s="4">
        <v>2</v>
      </c>
      <c r="L94" s="4">
        <v>1</v>
      </c>
      <c r="M94" s="4">
        <v>5</v>
      </c>
      <c r="N94" s="4">
        <v>12</v>
      </c>
      <c r="O94" s="4">
        <v>13</v>
      </c>
      <c r="P94" s="4">
        <v>3</v>
      </c>
      <c r="Q94" s="4">
        <v>10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0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0</v>
      </c>
      <c r="AN94" s="4">
        <v>0</v>
      </c>
      <c r="AO94" s="4">
        <v>0</v>
      </c>
      <c r="AP94" s="4">
        <v>0</v>
      </c>
      <c r="AQ94" s="4">
        <v>0</v>
      </c>
      <c r="AR94" s="4">
        <v>0</v>
      </c>
      <c r="AS94" s="4">
        <v>0</v>
      </c>
      <c r="AT94" s="4">
        <v>0</v>
      </c>
      <c r="AU94" s="4">
        <v>0</v>
      </c>
      <c r="AV94" s="4">
        <v>0</v>
      </c>
      <c r="AW94" s="4">
        <v>0</v>
      </c>
      <c r="AX94" s="4">
        <v>0</v>
      </c>
      <c r="AY94" s="4">
        <v>0</v>
      </c>
      <c r="AZ94" s="4">
        <v>0</v>
      </c>
      <c r="BA94" s="4">
        <v>0</v>
      </c>
      <c r="BB94" s="4">
        <v>0</v>
      </c>
      <c r="BC94" s="4">
        <v>0</v>
      </c>
      <c r="BD94" s="4">
        <v>0</v>
      </c>
      <c r="BE94" s="4">
        <v>0</v>
      </c>
      <c r="BF94" s="4">
        <v>0</v>
      </c>
      <c r="BG94" s="4">
        <v>0</v>
      </c>
      <c r="BH94" s="4">
        <v>0</v>
      </c>
      <c r="BI94" s="4">
        <v>0</v>
      </c>
      <c r="BJ94" s="4">
        <v>0</v>
      </c>
      <c r="BK94" s="4">
        <v>0</v>
      </c>
      <c r="BL94" s="4">
        <v>0</v>
      </c>
      <c r="BM94" s="4">
        <v>0</v>
      </c>
      <c r="BN94" s="4">
        <v>0</v>
      </c>
      <c r="BO94" s="4">
        <v>0</v>
      </c>
      <c r="BP94" s="4">
        <v>0</v>
      </c>
      <c r="BQ94" s="4">
        <v>0</v>
      </c>
      <c r="BV94" s="33" t="s">
        <v>48</v>
      </c>
      <c r="BW94" s="31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7"/>
    </row>
    <row r="95" spans="4:138" ht="16.149999999999999" thickBot="1" x14ac:dyDescent="0.55000000000000004">
      <c r="D95" s="100"/>
      <c r="E95" s="98" t="s">
        <v>12</v>
      </c>
      <c r="F95" s="4">
        <v>11</v>
      </c>
      <c r="G95" s="4">
        <v>56</v>
      </c>
      <c r="H95" s="4">
        <v>19</v>
      </c>
      <c r="I95" s="4">
        <v>14</v>
      </c>
      <c r="J95" s="4">
        <v>44</v>
      </c>
      <c r="K95" s="4">
        <v>51</v>
      </c>
      <c r="L95" s="4">
        <v>20</v>
      </c>
      <c r="M95" s="4">
        <v>32</v>
      </c>
      <c r="N95" s="4">
        <v>64</v>
      </c>
      <c r="O95" s="4">
        <v>34</v>
      </c>
      <c r="P95" s="4">
        <v>29</v>
      </c>
      <c r="Q95" s="4">
        <v>4</v>
      </c>
      <c r="R95" s="4">
        <v>28</v>
      </c>
      <c r="S95" s="4">
        <v>9</v>
      </c>
      <c r="T95" s="4">
        <v>62</v>
      </c>
      <c r="U95" s="4">
        <v>46</v>
      </c>
      <c r="V95" s="4">
        <v>63</v>
      </c>
      <c r="W95" s="4">
        <v>39</v>
      </c>
      <c r="X95" s="4">
        <v>48</v>
      </c>
      <c r="Y95" s="4">
        <v>35</v>
      </c>
      <c r="Z95" s="4">
        <v>21</v>
      </c>
      <c r="AA95" s="4">
        <v>24</v>
      </c>
      <c r="AB95" s="4">
        <v>43</v>
      </c>
      <c r="AC95" s="4">
        <v>25</v>
      </c>
      <c r="AD95" s="4">
        <v>60</v>
      </c>
      <c r="AE95" s="4">
        <v>52</v>
      </c>
      <c r="AF95" s="4">
        <v>58</v>
      </c>
      <c r="AG95" s="4">
        <v>36</v>
      </c>
      <c r="AH95" s="4">
        <v>42</v>
      </c>
      <c r="AI95" s="4">
        <v>57</v>
      </c>
      <c r="AJ95" s="4">
        <v>23</v>
      </c>
      <c r="AK95" s="4">
        <v>50</v>
      </c>
      <c r="AL95" s="4">
        <v>30</v>
      </c>
      <c r="AM95" s="4">
        <v>22</v>
      </c>
      <c r="AN95" s="4">
        <v>37</v>
      </c>
      <c r="AO95" s="4">
        <v>47</v>
      </c>
      <c r="AP95" s="4">
        <v>59</v>
      </c>
      <c r="AQ95" s="4">
        <v>38</v>
      </c>
      <c r="AR95" s="4">
        <v>55</v>
      </c>
      <c r="AS95" s="4">
        <v>17</v>
      </c>
      <c r="AT95" s="4">
        <v>27</v>
      </c>
      <c r="AU95" s="4">
        <v>49</v>
      </c>
      <c r="AV95" s="4">
        <v>26</v>
      </c>
      <c r="AW95" s="4">
        <v>53</v>
      </c>
      <c r="AX95" s="4">
        <v>54</v>
      </c>
      <c r="AY95" s="4">
        <v>61</v>
      </c>
      <c r="AZ95" s="4">
        <v>18</v>
      </c>
      <c r="BA95" s="4">
        <v>45</v>
      </c>
      <c r="BB95" s="4">
        <v>31</v>
      </c>
      <c r="BC95" s="4">
        <v>41</v>
      </c>
      <c r="BD95" s="4">
        <v>33</v>
      </c>
      <c r="BE95" s="4">
        <v>40</v>
      </c>
      <c r="BF95" s="4">
        <v>0</v>
      </c>
      <c r="BG95" s="4">
        <v>0</v>
      </c>
      <c r="BH95" s="4">
        <v>0</v>
      </c>
      <c r="BI95" s="4">
        <v>0</v>
      </c>
      <c r="BJ95" s="4">
        <v>0</v>
      </c>
      <c r="BK95" s="4">
        <v>0</v>
      </c>
      <c r="BL95" s="4">
        <v>0</v>
      </c>
      <c r="BM95" s="4">
        <v>0</v>
      </c>
      <c r="BN95" s="4">
        <v>0</v>
      </c>
      <c r="BO95" s="4">
        <v>0</v>
      </c>
      <c r="BP95" s="4">
        <v>0</v>
      </c>
      <c r="BQ95" s="4">
        <v>0</v>
      </c>
      <c r="BV95" s="34" t="s">
        <v>51</v>
      </c>
      <c r="BW95" s="32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9"/>
    </row>
    <row r="96" spans="4:138" ht="16.5" thickTop="1" thickBot="1" x14ac:dyDescent="0.55000000000000004">
      <c r="D96" s="101"/>
      <c r="E96" s="99"/>
      <c r="F96" s="4">
        <v>15</v>
      </c>
      <c r="G96" s="4">
        <v>8</v>
      </c>
      <c r="H96" s="4">
        <v>7</v>
      </c>
      <c r="I96" s="4">
        <v>6</v>
      </c>
      <c r="J96" s="4">
        <v>16</v>
      </c>
      <c r="K96" s="4">
        <v>2</v>
      </c>
      <c r="L96" s="4">
        <v>1</v>
      </c>
      <c r="M96" s="4">
        <v>5</v>
      </c>
      <c r="N96" s="4">
        <v>12</v>
      </c>
      <c r="O96" s="4">
        <v>13</v>
      </c>
      <c r="P96" s="4">
        <v>3</v>
      </c>
      <c r="Q96" s="4">
        <v>10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0</v>
      </c>
      <c r="AB96" s="4">
        <v>0</v>
      </c>
      <c r="AC96" s="4">
        <v>0</v>
      </c>
      <c r="AD96" s="4">
        <v>0</v>
      </c>
      <c r="AE96" s="4">
        <v>0</v>
      </c>
      <c r="AF96" s="4">
        <v>0</v>
      </c>
      <c r="AG96" s="4">
        <v>0</v>
      </c>
      <c r="AH96" s="4">
        <v>0</v>
      </c>
      <c r="AI96" s="4">
        <v>0</v>
      </c>
      <c r="AJ96" s="4">
        <v>0</v>
      </c>
      <c r="AK96" s="4">
        <v>0</v>
      </c>
      <c r="AL96" s="4">
        <v>0</v>
      </c>
      <c r="AM96" s="4">
        <v>0</v>
      </c>
      <c r="AN96" s="4">
        <v>0</v>
      </c>
      <c r="AO96" s="4">
        <v>0</v>
      </c>
      <c r="AP96" s="4">
        <v>0</v>
      </c>
      <c r="AQ96" s="4">
        <v>0</v>
      </c>
      <c r="AR96" s="4">
        <v>0</v>
      </c>
      <c r="AS96" s="4">
        <v>0</v>
      </c>
      <c r="AT96" s="4">
        <v>0</v>
      </c>
      <c r="AU96" s="4">
        <v>0</v>
      </c>
      <c r="AV96" s="4">
        <v>0</v>
      </c>
      <c r="AW96" s="4">
        <v>0</v>
      </c>
      <c r="AX96" s="4">
        <v>0</v>
      </c>
      <c r="AY96" s="4">
        <v>0</v>
      </c>
      <c r="AZ96" s="4">
        <v>0</v>
      </c>
      <c r="BA96" s="4">
        <v>0</v>
      </c>
      <c r="BB96" s="4">
        <v>0</v>
      </c>
      <c r="BC96" s="4">
        <v>0</v>
      </c>
      <c r="BD96" s="4">
        <v>0</v>
      </c>
      <c r="BE96" s="4">
        <v>0</v>
      </c>
      <c r="BF96" s="4">
        <v>0</v>
      </c>
      <c r="BG96" s="4">
        <v>0</v>
      </c>
      <c r="BH96" s="4">
        <v>0</v>
      </c>
      <c r="BI96" s="4">
        <v>0</v>
      </c>
      <c r="BJ96" s="4">
        <v>0</v>
      </c>
      <c r="BK96" s="4">
        <v>0</v>
      </c>
      <c r="BL96" s="4">
        <v>0</v>
      </c>
      <c r="BM96" s="4">
        <v>0</v>
      </c>
      <c r="BN96" s="4">
        <v>0</v>
      </c>
      <c r="BO96" s="4">
        <v>0</v>
      </c>
      <c r="BP96" s="4">
        <v>0</v>
      </c>
      <c r="BQ96" s="4">
        <v>0</v>
      </c>
      <c r="BV96" s="33" t="s">
        <v>48</v>
      </c>
      <c r="BW96" s="31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7"/>
    </row>
    <row r="97" spans="4:138" ht="16.149999999999999" thickBot="1" x14ac:dyDescent="0.55000000000000004">
      <c r="D97" s="100"/>
      <c r="E97" s="98" t="s">
        <v>13</v>
      </c>
      <c r="F97" s="4">
        <v>56</v>
      </c>
      <c r="G97" s="4">
        <v>19</v>
      </c>
      <c r="H97" s="4">
        <v>14</v>
      </c>
      <c r="I97" s="4">
        <v>44</v>
      </c>
      <c r="J97" s="4">
        <v>51</v>
      </c>
      <c r="K97" s="4">
        <v>20</v>
      </c>
      <c r="L97" s="4">
        <v>32</v>
      </c>
      <c r="M97" s="4">
        <v>64</v>
      </c>
      <c r="N97" s="4">
        <v>34</v>
      </c>
      <c r="O97" s="4">
        <v>29</v>
      </c>
      <c r="P97" s="4">
        <v>4</v>
      </c>
      <c r="Q97" s="4">
        <v>28</v>
      </c>
      <c r="R97" s="4">
        <v>9</v>
      </c>
      <c r="S97" s="4">
        <v>62</v>
      </c>
      <c r="T97" s="4">
        <v>46</v>
      </c>
      <c r="U97" s="4">
        <v>63</v>
      </c>
      <c r="V97" s="4">
        <v>39</v>
      </c>
      <c r="W97" s="4">
        <v>48</v>
      </c>
      <c r="X97" s="4">
        <v>35</v>
      </c>
      <c r="Y97" s="4">
        <v>21</v>
      </c>
      <c r="Z97" s="4">
        <v>24</v>
      </c>
      <c r="AA97" s="4">
        <v>43</v>
      </c>
      <c r="AB97" s="4">
        <v>25</v>
      </c>
      <c r="AC97" s="4">
        <v>60</v>
      </c>
      <c r="AD97" s="4">
        <v>52</v>
      </c>
      <c r="AE97" s="4">
        <v>58</v>
      </c>
      <c r="AF97" s="4">
        <v>36</v>
      </c>
      <c r="AG97" s="4">
        <v>42</v>
      </c>
      <c r="AH97" s="4">
        <v>57</v>
      </c>
      <c r="AI97" s="4">
        <v>23</v>
      </c>
      <c r="AJ97" s="4">
        <v>50</v>
      </c>
      <c r="AK97" s="4">
        <v>30</v>
      </c>
      <c r="AL97" s="4">
        <v>22</v>
      </c>
      <c r="AM97" s="4">
        <v>37</v>
      </c>
      <c r="AN97" s="4">
        <v>47</v>
      </c>
      <c r="AO97" s="4">
        <v>59</v>
      </c>
      <c r="AP97" s="4">
        <v>38</v>
      </c>
      <c r="AQ97" s="4">
        <v>55</v>
      </c>
      <c r="AR97" s="4">
        <v>17</v>
      </c>
      <c r="AS97" s="4">
        <v>27</v>
      </c>
      <c r="AT97" s="4">
        <v>49</v>
      </c>
      <c r="AU97" s="4">
        <v>26</v>
      </c>
      <c r="AV97" s="4">
        <v>53</v>
      </c>
      <c r="AW97" s="4">
        <v>54</v>
      </c>
      <c r="AX97" s="4">
        <v>61</v>
      </c>
      <c r="AY97" s="4">
        <v>18</v>
      </c>
      <c r="AZ97" s="4">
        <v>45</v>
      </c>
      <c r="BA97" s="4">
        <v>31</v>
      </c>
      <c r="BB97" s="4">
        <v>41</v>
      </c>
      <c r="BC97" s="4">
        <v>33</v>
      </c>
      <c r="BD97" s="4">
        <v>40</v>
      </c>
      <c r="BE97" s="4">
        <v>0</v>
      </c>
      <c r="BF97" s="4">
        <v>0</v>
      </c>
      <c r="BG97" s="4">
        <v>0</v>
      </c>
      <c r="BH97" s="4">
        <v>0</v>
      </c>
      <c r="BI97" s="4">
        <v>0</v>
      </c>
      <c r="BJ97" s="4">
        <v>0</v>
      </c>
      <c r="BK97" s="4">
        <v>0</v>
      </c>
      <c r="BL97" s="4">
        <v>0</v>
      </c>
      <c r="BM97" s="4">
        <v>0</v>
      </c>
      <c r="BN97" s="4">
        <v>0</v>
      </c>
      <c r="BO97" s="4">
        <v>0</v>
      </c>
      <c r="BP97" s="4">
        <v>0</v>
      </c>
      <c r="BQ97" s="4">
        <v>0</v>
      </c>
      <c r="BV97" s="34" t="s">
        <v>51</v>
      </c>
      <c r="BW97" s="32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  <c r="DD97" s="28"/>
      <c r="DE97" s="28"/>
      <c r="DF97" s="28"/>
      <c r="DG97" s="28"/>
      <c r="DH97" s="28"/>
      <c r="DI97" s="28"/>
      <c r="DJ97" s="28"/>
      <c r="DK97" s="28"/>
      <c r="DL97" s="28"/>
      <c r="DM97" s="28"/>
      <c r="DN97" s="28"/>
      <c r="DO97" s="28"/>
      <c r="DP97" s="28"/>
      <c r="DQ97" s="28"/>
      <c r="DR97" s="28"/>
      <c r="DS97" s="28"/>
      <c r="DT97" s="28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9"/>
    </row>
    <row r="98" spans="4:138" ht="16.5" thickTop="1" thickBot="1" x14ac:dyDescent="0.55000000000000004">
      <c r="D98" s="101"/>
      <c r="E98" s="99"/>
      <c r="F98" s="4">
        <v>11</v>
      </c>
      <c r="G98" s="4">
        <v>15</v>
      </c>
      <c r="H98" s="4">
        <v>8</v>
      </c>
      <c r="I98" s="4">
        <v>7</v>
      </c>
      <c r="J98" s="4">
        <v>6</v>
      </c>
      <c r="K98" s="4">
        <v>16</v>
      </c>
      <c r="L98" s="4">
        <v>2</v>
      </c>
      <c r="M98" s="4">
        <v>1</v>
      </c>
      <c r="N98" s="4">
        <v>5</v>
      </c>
      <c r="O98" s="4">
        <v>12</v>
      </c>
      <c r="P98" s="4">
        <v>13</v>
      </c>
      <c r="Q98" s="4">
        <v>3</v>
      </c>
      <c r="R98" s="4">
        <v>10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  <c r="AA98" s="4">
        <v>0</v>
      </c>
      <c r="AB98" s="4">
        <v>0</v>
      </c>
      <c r="AC98" s="4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0</v>
      </c>
      <c r="AJ98" s="4">
        <v>0</v>
      </c>
      <c r="AK98" s="4">
        <v>0</v>
      </c>
      <c r="AL98" s="4">
        <v>0</v>
      </c>
      <c r="AM98" s="4">
        <v>0</v>
      </c>
      <c r="AN98" s="4">
        <v>0</v>
      </c>
      <c r="AO98" s="4">
        <v>0</v>
      </c>
      <c r="AP98" s="4">
        <v>0</v>
      </c>
      <c r="AQ98" s="4">
        <v>0</v>
      </c>
      <c r="AR98" s="4">
        <v>0</v>
      </c>
      <c r="AS98" s="4">
        <v>0</v>
      </c>
      <c r="AT98" s="4">
        <v>0</v>
      </c>
      <c r="AU98" s="4">
        <v>0</v>
      </c>
      <c r="AV98" s="4">
        <v>0</v>
      </c>
      <c r="AW98" s="4">
        <v>0</v>
      </c>
      <c r="AX98" s="4">
        <v>0</v>
      </c>
      <c r="AY98" s="4">
        <v>0</v>
      </c>
      <c r="AZ98" s="4">
        <v>0</v>
      </c>
      <c r="BA98" s="4">
        <v>0</v>
      </c>
      <c r="BB98" s="4">
        <v>0</v>
      </c>
      <c r="BC98" s="4">
        <v>0</v>
      </c>
      <c r="BD98" s="4">
        <v>0</v>
      </c>
      <c r="BE98" s="4">
        <v>0</v>
      </c>
      <c r="BF98" s="4">
        <v>0</v>
      </c>
      <c r="BG98" s="4">
        <v>0</v>
      </c>
      <c r="BH98" s="4">
        <v>0</v>
      </c>
      <c r="BI98" s="4">
        <v>0</v>
      </c>
      <c r="BJ98" s="4">
        <v>0</v>
      </c>
      <c r="BK98" s="4">
        <v>0</v>
      </c>
      <c r="BL98" s="4">
        <v>0</v>
      </c>
      <c r="BM98" s="4">
        <v>0</v>
      </c>
      <c r="BN98" s="4">
        <v>0</v>
      </c>
      <c r="BO98" s="4">
        <v>0</v>
      </c>
      <c r="BP98" s="4">
        <v>0</v>
      </c>
      <c r="BQ98" s="4">
        <v>0</v>
      </c>
      <c r="BV98" s="33" t="s">
        <v>48</v>
      </c>
      <c r="BW98" s="31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7"/>
    </row>
    <row r="99" spans="4:138" ht="16.149999999999999" thickBot="1" x14ac:dyDescent="0.55000000000000004">
      <c r="D99" s="100"/>
      <c r="E99" s="98" t="s">
        <v>12</v>
      </c>
      <c r="F99" s="4">
        <v>19</v>
      </c>
      <c r="G99" s="4">
        <v>14</v>
      </c>
      <c r="H99" s="4">
        <v>44</v>
      </c>
      <c r="I99" s="4">
        <v>51</v>
      </c>
      <c r="J99" s="4">
        <v>20</v>
      </c>
      <c r="K99" s="4">
        <v>32</v>
      </c>
      <c r="L99" s="4">
        <v>64</v>
      </c>
      <c r="M99" s="4">
        <v>34</v>
      </c>
      <c r="N99" s="4">
        <v>29</v>
      </c>
      <c r="O99" s="4">
        <v>4</v>
      </c>
      <c r="P99" s="4">
        <v>28</v>
      </c>
      <c r="Q99" s="4">
        <v>9</v>
      </c>
      <c r="R99" s="4">
        <v>62</v>
      </c>
      <c r="S99" s="4">
        <v>46</v>
      </c>
      <c r="T99" s="4">
        <v>63</v>
      </c>
      <c r="U99" s="4">
        <v>39</v>
      </c>
      <c r="V99" s="4">
        <v>48</v>
      </c>
      <c r="W99" s="4">
        <v>35</v>
      </c>
      <c r="X99" s="4">
        <v>21</v>
      </c>
      <c r="Y99" s="4">
        <v>24</v>
      </c>
      <c r="Z99" s="4">
        <v>43</v>
      </c>
      <c r="AA99" s="4">
        <v>25</v>
      </c>
      <c r="AB99" s="4">
        <v>60</v>
      </c>
      <c r="AC99" s="4">
        <v>52</v>
      </c>
      <c r="AD99" s="4">
        <v>58</v>
      </c>
      <c r="AE99" s="4">
        <v>36</v>
      </c>
      <c r="AF99" s="4">
        <v>42</v>
      </c>
      <c r="AG99" s="4">
        <v>57</v>
      </c>
      <c r="AH99" s="4">
        <v>23</v>
      </c>
      <c r="AI99" s="4">
        <v>50</v>
      </c>
      <c r="AJ99" s="4">
        <v>30</v>
      </c>
      <c r="AK99" s="4">
        <v>22</v>
      </c>
      <c r="AL99" s="4">
        <v>37</v>
      </c>
      <c r="AM99" s="4">
        <v>47</v>
      </c>
      <c r="AN99" s="4">
        <v>59</v>
      </c>
      <c r="AO99" s="4">
        <v>38</v>
      </c>
      <c r="AP99" s="4">
        <v>55</v>
      </c>
      <c r="AQ99" s="4">
        <v>17</v>
      </c>
      <c r="AR99" s="4">
        <v>27</v>
      </c>
      <c r="AS99" s="4">
        <v>49</v>
      </c>
      <c r="AT99" s="4">
        <v>26</v>
      </c>
      <c r="AU99" s="4">
        <v>53</v>
      </c>
      <c r="AV99" s="4">
        <v>54</v>
      </c>
      <c r="AW99" s="4">
        <v>61</v>
      </c>
      <c r="AX99" s="4">
        <v>18</v>
      </c>
      <c r="AY99" s="4">
        <v>45</v>
      </c>
      <c r="AZ99" s="4">
        <v>31</v>
      </c>
      <c r="BA99" s="4">
        <v>41</v>
      </c>
      <c r="BB99" s="4">
        <v>33</v>
      </c>
      <c r="BC99" s="4">
        <v>40</v>
      </c>
      <c r="BD99" s="4">
        <v>56</v>
      </c>
      <c r="BE99" s="4">
        <v>0</v>
      </c>
      <c r="BF99" s="4">
        <v>0</v>
      </c>
      <c r="BG99" s="4">
        <v>0</v>
      </c>
      <c r="BH99" s="4">
        <v>0</v>
      </c>
      <c r="BI99" s="4">
        <v>0</v>
      </c>
      <c r="BJ99" s="4">
        <v>0</v>
      </c>
      <c r="BK99" s="4">
        <v>0</v>
      </c>
      <c r="BL99" s="4">
        <v>0</v>
      </c>
      <c r="BM99" s="4">
        <v>0</v>
      </c>
      <c r="BN99" s="4">
        <v>0</v>
      </c>
      <c r="BO99" s="4">
        <v>0</v>
      </c>
      <c r="BP99" s="4">
        <v>0</v>
      </c>
      <c r="BQ99" s="4">
        <v>0</v>
      </c>
      <c r="BV99" s="34" t="s">
        <v>51</v>
      </c>
      <c r="BW99" s="32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28"/>
      <c r="DN99" s="28"/>
      <c r="DO99" s="28"/>
      <c r="DP99" s="28"/>
      <c r="DQ99" s="28"/>
      <c r="DR99" s="28"/>
      <c r="DS99" s="28"/>
      <c r="DT99" s="28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9"/>
    </row>
    <row r="100" spans="4:138" ht="16.5" thickTop="1" thickBot="1" x14ac:dyDescent="0.55000000000000004">
      <c r="D100" s="101"/>
      <c r="E100" s="99"/>
      <c r="F100" s="4">
        <v>11</v>
      </c>
      <c r="G100" s="4">
        <v>15</v>
      </c>
      <c r="H100" s="4">
        <v>8</v>
      </c>
      <c r="I100" s="4">
        <v>7</v>
      </c>
      <c r="J100" s="4">
        <v>6</v>
      </c>
      <c r="K100" s="4">
        <v>16</v>
      </c>
      <c r="L100" s="4">
        <v>2</v>
      </c>
      <c r="M100" s="4">
        <v>1</v>
      </c>
      <c r="N100" s="4">
        <v>5</v>
      </c>
      <c r="O100" s="4">
        <v>12</v>
      </c>
      <c r="P100" s="4">
        <v>13</v>
      </c>
      <c r="Q100" s="4">
        <v>3</v>
      </c>
      <c r="R100" s="4">
        <v>10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0</v>
      </c>
      <c r="AJ100" s="4">
        <v>0</v>
      </c>
      <c r="AK100" s="4">
        <v>0</v>
      </c>
      <c r="AL100" s="4">
        <v>0</v>
      </c>
      <c r="AM100" s="4">
        <v>0</v>
      </c>
      <c r="AN100" s="4">
        <v>0</v>
      </c>
      <c r="AO100" s="4">
        <v>0</v>
      </c>
      <c r="AP100" s="4">
        <v>0</v>
      </c>
      <c r="AQ100" s="4">
        <v>0</v>
      </c>
      <c r="AR100" s="4">
        <v>0</v>
      </c>
      <c r="AS100" s="4">
        <v>0</v>
      </c>
      <c r="AT100" s="4">
        <v>0</v>
      </c>
      <c r="AU100" s="4">
        <v>0</v>
      </c>
      <c r="AV100" s="4">
        <v>0</v>
      </c>
      <c r="AW100" s="4">
        <v>0</v>
      </c>
      <c r="AX100" s="4">
        <v>0</v>
      </c>
      <c r="AY100" s="4">
        <v>0</v>
      </c>
      <c r="AZ100" s="4">
        <v>0</v>
      </c>
      <c r="BA100" s="4">
        <v>0</v>
      </c>
      <c r="BB100" s="4">
        <v>0</v>
      </c>
      <c r="BC100" s="4">
        <v>0</v>
      </c>
      <c r="BD100" s="4">
        <v>0</v>
      </c>
      <c r="BE100" s="4">
        <v>0</v>
      </c>
      <c r="BF100" s="4">
        <v>0</v>
      </c>
      <c r="BG100" s="4">
        <v>0</v>
      </c>
      <c r="BH100" s="4">
        <v>0</v>
      </c>
      <c r="BI100" s="4">
        <v>0</v>
      </c>
      <c r="BJ100" s="4">
        <v>0</v>
      </c>
      <c r="BK100" s="4">
        <v>0</v>
      </c>
      <c r="BL100" s="4">
        <v>0</v>
      </c>
      <c r="BM100" s="4">
        <v>0</v>
      </c>
      <c r="BN100" s="4">
        <v>0</v>
      </c>
      <c r="BO100" s="4">
        <v>0</v>
      </c>
      <c r="BP100" s="4">
        <v>0</v>
      </c>
      <c r="BQ100" s="4">
        <v>0</v>
      </c>
      <c r="BW100" s="31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7"/>
    </row>
    <row r="101" spans="4:138" ht="16.149999999999999" thickBot="1" x14ac:dyDescent="0.55000000000000004">
      <c r="D101" s="100"/>
      <c r="E101" s="98" t="s">
        <v>12</v>
      </c>
      <c r="F101" s="4">
        <v>14</v>
      </c>
      <c r="G101" s="4">
        <v>44</v>
      </c>
      <c r="H101" s="4">
        <v>51</v>
      </c>
      <c r="I101" s="4">
        <v>20</v>
      </c>
      <c r="J101" s="4">
        <v>32</v>
      </c>
      <c r="K101" s="4">
        <v>64</v>
      </c>
      <c r="L101" s="4">
        <v>34</v>
      </c>
      <c r="M101" s="4">
        <v>29</v>
      </c>
      <c r="N101" s="4">
        <v>4</v>
      </c>
      <c r="O101" s="4">
        <v>28</v>
      </c>
      <c r="P101" s="4">
        <v>9</v>
      </c>
      <c r="Q101" s="4">
        <v>62</v>
      </c>
      <c r="R101" s="4">
        <v>46</v>
      </c>
      <c r="S101" s="4">
        <v>63</v>
      </c>
      <c r="T101" s="4">
        <v>39</v>
      </c>
      <c r="U101" s="4">
        <v>48</v>
      </c>
      <c r="V101" s="4">
        <v>35</v>
      </c>
      <c r="W101" s="4">
        <v>21</v>
      </c>
      <c r="X101" s="4">
        <v>24</v>
      </c>
      <c r="Y101" s="4">
        <v>43</v>
      </c>
      <c r="Z101" s="4">
        <v>25</v>
      </c>
      <c r="AA101" s="4">
        <v>60</v>
      </c>
      <c r="AB101" s="4">
        <v>52</v>
      </c>
      <c r="AC101" s="4">
        <v>58</v>
      </c>
      <c r="AD101" s="4">
        <v>36</v>
      </c>
      <c r="AE101" s="4">
        <v>42</v>
      </c>
      <c r="AF101" s="4">
        <v>57</v>
      </c>
      <c r="AG101" s="4">
        <v>23</v>
      </c>
      <c r="AH101" s="4">
        <v>50</v>
      </c>
      <c r="AI101" s="4">
        <v>30</v>
      </c>
      <c r="AJ101" s="4">
        <v>22</v>
      </c>
      <c r="AK101" s="4">
        <v>37</v>
      </c>
      <c r="AL101" s="4">
        <v>47</v>
      </c>
      <c r="AM101" s="4">
        <v>59</v>
      </c>
      <c r="AN101" s="4">
        <v>38</v>
      </c>
      <c r="AO101" s="4">
        <v>55</v>
      </c>
      <c r="AP101" s="4">
        <v>17</v>
      </c>
      <c r="AQ101" s="4">
        <v>27</v>
      </c>
      <c r="AR101" s="4">
        <v>49</v>
      </c>
      <c r="AS101" s="4">
        <v>26</v>
      </c>
      <c r="AT101" s="4">
        <v>53</v>
      </c>
      <c r="AU101" s="4">
        <v>54</v>
      </c>
      <c r="AV101" s="4">
        <v>61</v>
      </c>
      <c r="AW101" s="4">
        <v>18</v>
      </c>
      <c r="AX101" s="4">
        <v>45</v>
      </c>
      <c r="AY101" s="4">
        <v>31</v>
      </c>
      <c r="AZ101" s="4">
        <v>41</v>
      </c>
      <c r="BA101" s="4">
        <v>33</v>
      </c>
      <c r="BB101" s="4">
        <v>40</v>
      </c>
      <c r="BC101" s="4">
        <v>56</v>
      </c>
      <c r="BD101" s="4">
        <v>19</v>
      </c>
      <c r="BE101" s="4">
        <v>0</v>
      </c>
      <c r="BF101" s="4">
        <v>0</v>
      </c>
      <c r="BG101" s="4">
        <v>0</v>
      </c>
      <c r="BH101" s="4">
        <v>0</v>
      </c>
      <c r="BI101" s="4">
        <v>0</v>
      </c>
      <c r="BJ101" s="4">
        <v>0</v>
      </c>
      <c r="BK101" s="4">
        <v>0</v>
      </c>
      <c r="BL101" s="4">
        <v>0</v>
      </c>
      <c r="BM101" s="4">
        <v>0</v>
      </c>
      <c r="BN101" s="4">
        <v>0</v>
      </c>
      <c r="BO101" s="4">
        <v>0</v>
      </c>
      <c r="BP101" s="4">
        <v>0</v>
      </c>
      <c r="BQ101" s="4">
        <v>0</v>
      </c>
      <c r="BW101" s="32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  <c r="DB101" s="28"/>
      <c r="DC101" s="28"/>
      <c r="DD101" s="28"/>
      <c r="DE101" s="28"/>
      <c r="DF101" s="28"/>
      <c r="DG101" s="28"/>
      <c r="DH101" s="28"/>
      <c r="DI101" s="28"/>
      <c r="DJ101" s="28"/>
      <c r="DK101" s="28"/>
      <c r="DL101" s="28"/>
      <c r="DM101" s="28"/>
      <c r="DN101" s="28"/>
      <c r="DO101" s="28"/>
      <c r="DP101" s="28"/>
      <c r="DQ101" s="28"/>
      <c r="DR101" s="28"/>
      <c r="DS101" s="28"/>
      <c r="DT101" s="28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9"/>
    </row>
    <row r="102" spans="4:138" ht="16.5" thickTop="1" thickBot="1" x14ac:dyDescent="0.55000000000000004">
      <c r="D102" s="101"/>
      <c r="E102" s="99"/>
      <c r="F102" s="4">
        <v>11</v>
      </c>
      <c r="G102" s="4">
        <v>15</v>
      </c>
      <c r="H102" s="4">
        <v>8</v>
      </c>
      <c r="I102" s="4">
        <v>7</v>
      </c>
      <c r="J102" s="4">
        <v>6</v>
      </c>
      <c r="K102" s="4">
        <v>16</v>
      </c>
      <c r="L102" s="4">
        <v>2</v>
      </c>
      <c r="M102" s="4">
        <v>1</v>
      </c>
      <c r="N102" s="4">
        <v>5</v>
      </c>
      <c r="O102" s="4">
        <v>12</v>
      </c>
      <c r="P102" s="4">
        <v>13</v>
      </c>
      <c r="Q102" s="4">
        <v>3</v>
      </c>
      <c r="R102" s="4">
        <v>10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  <c r="Z102" s="4">
        <v>0</v>
      </c>
      <c r="AA102" s="4">
        <v>0</v>
      </c>
      <c r="AB102" s="4">
        <v>0</v>
      </c>
      <c r="AC102" s="4">
        <v>0</v>
      </c>
      <c r="AD102" s="4">
        <v>0</v>
      </c>
      <c r="AE102" s="4">
        <v>0</v>
      </c>
      <c r="AF102" s="4">
        <v>0</v>
      </c>
      <c r="AG102" s="4">
        <v>0</v>
      </c>
      <c r="AH102" s="4">
        <v>0</v>
      </c>
      <c r="AI102" s="4">
        <v>0</v>
      </c>
      <c r="AJ102" s="4">
        <v>0</v>
      </c>
      <c r="AK102" s="4">
        <v>0</v>
      </c>
      <c r="AL102" s="4">
        <v>0</v>
      </c>
      <c r="AM102" s="4">
        <v>0</v>
      </c>
      <c r="AN102" s="4">
        <v>0</v>
      </c>
      <c r="AO102" s="4">
        <v>0</v>
      </c>
      <c r="AP102" s="4">
        <v>0</v>
      </c>
      <c r="AQ102" s="4">
        <v>0</v>
      </c>
      <c r="AR102" s="4">
        <v>0</v>
      </c>
      <c r="AS102" s="4">
        <v>0</v>
      </c>
      <c r="AT102" s="4">
        <v>0</v>
      </c>
      <c r="AU102" s="4">
        <v>0</v>
      </c>
      <c r="AV102" s="4">
        <v>0</v>
      </c>
      <c r="AW102" s="4">
        <v>0</v>
      </c>
      <c r="AX102" s="4">
        <v>0</v>
      </c>
      <c r="AY102" s="4">
        <v>0</v>
      </c>
      <c r="AZ102" s="4">
        <v>0</v>
      </c>
      <c r="BA102" s="4">
        <v>0</v>
      </c>
      <c r="BB102" s="4">
        <v>0</v>
      </c>
      <c r="BC102" s="4">
        <v>0</v>
      </c>
      <c r="BD102" s="4">
        <v>0</v>
      </c>
      <c r="BE102" s="4">
        <v>0</v>
      </c>
      <c r="BF102" s="4">
        <v>0</v>
      </c>
      <c r="BG102" s="4">
        <v>0</v>
      </c>
      <c r="BH102" s="4">
        <v>0</v>
      </c>
      <c r="BI102" s="4">
        <v>0</v>
      </c>
      <c r="BJ102" s="4">
        <v>0</v>
      </c>
      <c r="BK102" s="4">
        <v>0</v>
      </c>
      <c r="BL102" s="4">
        <v>0</v>
      </c>
      <c r="BM102" s="4">
        <v>0</v>
      </c>
      <c r="BN102" s="4">
        <v>0</v>
      </c>
      <c r="BO102" s="4">
        <v>0</v>
      </c>
      <c r="BP102" s="4">
        <v>0</v>
      </c>
      <c r="BQ102" s="4">
        <v>0</v>
      </c>
      <c r="BW102" s="31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7"/>
    </row>
    <row r="103" spans="4:138" ht="16.149999999999999" thickBot="1" x14ac:dyDescent="0.55000000000000004">
      <c r="D103" s="100"/>
      <c r="E103" s="98" t="s">
        <v>13</v>
      </c>
      <c r="F103" s="4">
        <v>44</v>
      </c>
      <c r="G103" s="4">
        <v>51</v>
      </c>
      <c r="H103" s="4">
        <v>20</v>
      </c>
      <c r="I103" s="4">
        <v>32</v>
      </c>
      <c r="J103" s="4">
        <v>64</v>
      </c>
      <c r="K103" s="4">
        <v>34</v>
      </c>
      <c r="L103" s="4">
        <v>29</v>
      </c>
      <c r="M103" s="4">
        <v>4</v>
      </c>
      <c r="N103" s="4">
        <v>28</v>
      </c>
      <c r="O103" s="4">
        <v>9</v>
      </c>
      <c r="P103" s="4">
        <v>62</v>
      </c>
      <c r="Q103" s="4">
        <v>46</v>
      </c>
      <c r="R103" s="4">
        <v>63</v>
      </c>
      <c r="S103" s="4">
        <v>39</v>
      </c>
      <c r="T103" s="4">
        <v>48</v>
      </c>
      <c r="U103" s="4">
        <v>35</v>
      </c>
      <c r="V103" s="4">
        <v>21</v>
      </c>
      <c r="W103" s="4">
        <v>24</v>
      </c>
      <c r="X103" s="4">
        <v>43</v>
      </c>
      <c r="Y103" s="4">
        <v>25</v>
      </c>
      <c r="Z103" s="4">
        <v>60</v>
      </c>
      <c r="AA103" s="4">
        <v>52</v>
      </c>
      <c r="AB103" s="4">
        <v>58</v>
      </c>
      <c r="AC103" s="4">
        <v>36</v>
      </c>
      <c r="AD103" s="4">
        <v>42</v>
      </c>
      <c r="AE103" s="4">
        <v>57</v>
      </c>
      <c r="AF103" s="4">
        <v>23</v>
      </c>
      <c r="AG103" s="4">
        <v>50</v>
      </c>
      <c r="AH103" s="4">
        <v>30</v>
      </c>
      <c r="AI103" s="4">
        <v>22</v>
      </c>
      <c r="AJ103" s="4">
        <v>37</v>
      </c>
      <c r="AK103" s="4">
        <v>47</v>
      </c>
      <c r="AL103" s="4">
        <v>59</v>
      </c>
      <c r="AM103" s="4">
        <v>38</v>
      </c>
      <c r="AN103" s="4">
        <v>55</v>
      </c>
      <c r="AO103" s="4">
        <v>17</v>
      </c>
      <c r="AP103" s="4">
        <v>27</v>
      </c>
      <c r="AQ103" s="4">
        <v>49</v>
      </c>
      <c r="AR103" s="4">
        <v>26</v>
      </c>
      <c r="AS103" s="4">
        <v>53</v>
      </c>
      <c r="AT103" s="4">
        <v>54</v>
      </c>
      <c r="AU103" s="4">
        <v>61</v>
      </c>
      <c r="AV103" s="4">
        <v>18</v>
      </c>
      <c r="AW103" s="4">
        <v>45</v>
      </c>
      <c r="AX103" s="4">
        <v>31</v>
      </c>
      <c r="AY103" s="4">
        <v>41</v>
      </c>
      <c r="AZ103" s="4">
        <v>33</v>
      </c>
      <c r="BA103" s="4">
        <v>40</v>
      </c>
      <c r="BB103" s="4">
        <v>56</v>
      </c>
      <c r="BC103" s="4">
        <v>19</v>
      </c>
      <c r="BD103" s="4">
        <v>0</v>
      </c>
      <c r="BE103" s="4">
        <v>0</v>
      </c>
      <c r="BF103" s="4">
        <v>0</v>
      </c>
      <c r="BG103" s="4">
        <v>0</v>
      </c>
      <c r="BH103" s="4">
        <v>0</v>
      </c>
      <c r="BI103" s="4">
        <v>0</v>
      </c>
      <c r="BJ103" s="4">
        <v>0</v>
      </c>
      <c r="BK103" s="4">
        <v>0</v>
      </c>
      <c r="BL103" s="4">
        <v>0</v>
      </c>
      <c r="BM103" s="4">
        <v>0</v>
      </c>
      <c r="BN103" s="4">
        <v>0</v>
      </c>
      <c r="BO103" s="4">
        <v>0</v>
      </c>
      <c r="BP103" s="4">
        <v>0</v>
      </c>
      <c r="BQ103" s="4">
        <v>0</v>
      </c>
      <c r="BW103" s="32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  <c r="DB103" s="28"/>
      <c r="DC103" s="28"/>
      <c r="DD103" s="28"/>
      <c r="DE103" s="28"/>
      <c r="DF103" s="28"/>
      <c r="DG103" s="28"/>
      <c r="DH103" s="28"/>
      <c r="DI103" s="28"/>
      <c r="DJ103" s="28"/>
      <c r="DK103" s="28"/>
      <c r="DL103" s="28"/>
      <c r="DM103" s="28"/>
      <c r="DN103" s="28"/>
      <c r="DO103" s="28"/>
      <c r="DP103" s="28"/>
      <c r="DQ103" s="28"/>
      <c r="DR103" s="28"/>
      <c r="DS103" s="28"/>
      <c r="DT103" s="28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9"/>
    </row>
    <row r="104" spans="4:138" ht="16.5" thickTop="1" thickBot="1" x14ac:dyDescent="0.55000000000000004">
      <c r="D104" s="101"/>
      <c r="E104" s="99"/>
      <c r="F104" s="4">
        <v>14</v>
      </c>
      <c r="G104" s="4">
        <v>11</v>
      </c>
      <c r="H104" s="4">
        <v>15</v>
      </c>
      <c r="I104" s="4">
        <v>8</v>
      </c>
      <c r="J104" s="4">
        <v>7</v>
      </c>
      <c r="K104" s="4">
        <v>6</v>
      </c>
      <c r="L104" s="4">
        <v>16</v>
      </c>
      <c r="M104" s="4">
        <v>2</v>
      </c>
      <c r="N104" s="4">
        <v>1</v>
      </c>
      <c r="O104" s="4">
        <v>5</v>
      </c>
      <c r="P104" s="4">
        <v>12</v>
      </c>
      <c r="Q104" s="4">
        <v>13</v>
      </c>
      <c r="R104" s="4">
        <v>3</v>
      </c>
      <c r="S104" s="4">
        <v>10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  <c r="AA104" s="4">
        <v>0</v>
      </c>
      <c r="AB104" s="4">
        <v>0</v>
      </c>
      <c r="AC104" s="4">
        <v>0</v>
      </c>
      <c r="AD104" s="4">
        <v>0</v>
      </c>
      <c r="AE104" s="4">
        <v>0</v>
      </c>
      <c r="AF104" s="4">
        <v>0</v>
      </c>
      <c r="AG104" s="4">
        <v>0</v>
      </c>
      <c r="AH104" s="4">
        <v>0</v>
      </c>
      <c r="AI104" s="4">
        <v>0</v>
      </c>
      <c r="AJ104" s="4">
        <v>0</v>
      </c>
      <c r="AK104" s="4">
        <v>0</v>
      </c>
      <c r="AL104" s="4">
        <v>0</v>
      </c>
      <c r="AM104" s="4">
        <v>0</v>
      </c>
      <c r="AN104" s="4">
        <v>0</v>
      </c>
      <c r="AO104" s="4">
        <v>0</v>
      </c>
      <c r="AP104" s="4">
        <v>0</v>
      </c>
      <c r="AQ104" s="4">
        <v>0</v>
      </c>
      <c r="AR104" s="4">
        <v>0</v>
      </c>
      <c r="AS104" s="4">
        <v>0</v>
      </c>
      <c r="AT104" s="4">
        <v>0</v>
      </c>
      <c r="AU104" s="4">
        <v>0</v>
      </c>
      <c r="AV104" s="4">
        <v>0</v>
      </c>
      <c r="AW104" s="4">
        <v>0</v>
      </c>
      <c r="AX104" s="4">
        <v>0</v>
      </c>
      <c r="AY104" s="4">
        <v>0</v>
      </c>
      <c r="AZ104" s="4">
        <v>0</v>
      </c>
      <c r="BA104" s="4">
        <v>0</v>
      </c>
      <c r="BB104" s="4">
        <v>0</v>
      </c>
      <c r="BC104" s="4">
        <v>0</v>
      </c>
      <c r="BD104" s="4">
        <v>0</v>
      </c>
      <c r="BE104" s="4">
        <v>0</v>
      </c>
      <c r="BF104" s="4">
        <v>0</v>
      </c>
      <c r="BG104" s="4">
        <v>0</v>
      </c>
      <c r="BH104" s="4">
        <v>0</v>
      </c>
      <c r="BI104" s="4">
        <v>0</v>
      </c>
      <c r="BJ104" s="4">
        <v>0</v>
      </c>
      <c r="BK104" s="4">
        <v>0</v>
      </c>
      <c r="BL104" s="4">
        <v>0</v>
      </c>
      <c r="BM104" s="4">
        <v>0</v>
      </c>
      <c r="BN104" s="4">
        <v>0</v>
      </c>
      <c r="BO104" s="4">
        <v>0</v>
      </c>
      <c r="BP104" s="4">
        <v>0</v>
      </c>
      <c r="BQ104" s="4">
        <v>0</v>
      </c>
      <c r="BW104" s="31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7"/>
    </row>
    <row r="105" spans="4:138" ht="16.149999999999999" thickBot="1" x14ac:dyDescent="0.55000000000000004">
      <c r="D105" s="100"/>
      <c r="E105" s="98" t="s">
        <v>12</v>
      </c>
      <c r="F105" s="4">
        <v>51</v>
      </c>
      <c r="G105" s="4">
        <v>20</v>
      </c>
      <c r="H105" s="4">
        <v>32</v>
      </c>
      <c r="I105" s="4">
        <v>64</v>
      </c>
      <c r="J105" s="4">
        <v>34</v>
      </c>
      <c r="K105" s="4">
        <v>29</v>
      </c>
      <c r="L105" s="4">
        <v>4</v>
      </c>
      <c r="M105" s="4">
        <v>28</v>
      </c>
      <c r="N105" s="4">
        <v>9</v>
      </c>
      <c r="O105" s="4">
        <v>62</v>
      </c>
      <c r="P105" s="4">
        <v>46</v>
      </c>
      <c r="Q105" s="4">
        <v>63</v>
      </c>
      <c r="R105" s="4">
        <v>39</v>
      </c>
      <c r="S105" s="4">
        <v>48</v>
      </c>
      <c r="T105" s="4">
        <v>35</v>
      </c>
      <c r="U105" s="4">
        <v>21</v>
      </c>
      <c r="V105" s="4">
        <v>24</v>
      </c>
      <c r="W105" s="4">
        <v>43</v>
      </c>
      <c r="X105" s="4">
        <v>25</v>
      </c>
      <c r="Y105" s="4">
        <v>60</v>
      </c>
      <c r="Z105" s="4">
        <v>52</v>
      </c>
      <c r="AA105" s="4">
        <v>58</v>
      </c>
      <c r="AB105" s="4">
        <v>36</v>
      </c>
      <c r="AC105" s="4">
        <v>42</v>
      </c>
      <c r="AD105" s="4">
        <v>57</v>
      </c>
      <c r="AE105" s="4">
        <v>23</v>
      </c>
      <c r="AF105" s="4">
        <v>50</v>
      </c>
      <c r="AG105" s="4">
        <v>30</v>
      </c>
      <c r="AH105" s="4">
        <v>22</v>
      </c>
      <c r="AI105" s="4">
        <v>37</v>
      </c>
      <c r="AJ105" s="4">
        <v>47</v>
      </c>
      <c r="AK105" s="4">
        <v>59</v>
      </c>
      <c r="AL105" s="4">
        <v>38</v>
      </c>
      <c r="AM105" s="4">
        <v>55</v>
      </c>
      <c r="AN105" s="4">
        <v>17</v>
      </c>
      <c r="AO105" s="4">
        <v>27</v>
      </c>
      <c r="AP105" s="4">
        <v>49</v>
      </c>
      <c r="AQ105" s="4">
        <v>26</v>
      </c>
      <c r="AR105" s="4">
        <v>53</v>
      </c>
      <c r="AS105" s="4">
        <v>54</v>
      </c>
      <c r="AT105" s="4">
        <v>61</v>
      </c>
      <c r="AU105" s="4">
        <v>18</v>
      </c>
      <c r="AV105" s="4">
        <v>45</v>
      </c>
      <c r="AW105" s="4">
        <v>31</v>
      </c>
      <c r="AX105" s="4">
        <v>41</v>
      </c>
      <c r="AY105" s="4">
        <v>33</v>
      </c>
      <c r="AZ105" s="4">
        <v>40</v>
      </c>
      <c r="BA105" s="4">
        <v>56</v>
      </c>
      <c r="BB105" s="4">
        <v>19</v>
      </c>
      <c r="BC105" s="4">
        <v>44</v>
      </c>
      <c r="BD105" s="4">
        <v>0</v>
      </c>
      <c r="BE105" s="4">
        <v>0</v>
      </c>
      <c r="BF105" s="4">
        <v>0</v>
      </c>
      <c r="BG105" s="4">
        <v>0</v>
      </c>
      <c r="BH105" s="4">
        <v>0</v>
      </c>
      <c r="BI105" s="4">
        <v>0</v>
      </c>
      <c r="BJ105" s="4">
        <v>0</v>
      </c>
      <c r="BK105" s="4">
        <v>0</v>
      </c>
      <c r="BL105" s="4">
        <v>0</v>
      </c>
      <c r="BM105" s="4">
        <v>0</v>
      </c>
      <c r="BN105" s="4">
        <v>0</v>
      </c>
      <c r="BO105" s="4">
        <v>0</v>
      </c>
      <c r="BP105" s="4">
        <v>0</v>
      </c>
      <c r="BQ105" s="4">
        <v>0</v>
      </c>
      <c r="BW105" s="32"/>
      <c r="BX105" s="28"/>
      <c r="BY105" s="28"/>
      <c r="BZ105" s="28"/>
      <c r="CA105" s="28"/>
      <c r="CB105" s="28"/>
      <c r="CC105" s="28"/>
      <c r="CD105" s="28"/>
      <c r="CE105" s="28"/>
      <c r="CF105" s="28"/>
      <c r="CG105" s="28"/>
      <c r="CH105" s="28"/>
      <c r="CI105" s="28"/>
      <c r="CJ105" s="28"/>
      <c r="CK105" s="28"/>
      <c r="CL105" s="28"/>
      <c r="CM105" s="28"/>
      <c r="CN105" s="28"/>
      <c r="CO105" s="28"/>
      <c r="CP105" s="28"/>
      <c r="CQ105" s="28"/>
      <c r="CR105" s="28"/>
      <c r="CS105" s="28"/>
      <c r="CT105" s="28"/>
      <c r="CU105" s="28"/>
      <c r="CV105" s="28"/>
      <c r="CW105" s="28"/>
      <c r="CX105" s="28"/>
      <c r="CY105" s="28"/>
      <c r="CZ105" s="28"/>
      <c r="DA105" s="28"/>
      <c r="DB105" s="28"/>
      <c r="DC105" s="28"/>
      <c r="DD105" s="28"/>
      <c r="DE105" s="28"/>
      <c r="DF105" s="28"/>
      <c r="DG105" s="28"/>
      <c r="DH105" s="28"/>
      <c r="DI105" s="28"/>
      <c r="DJ105" s="28"/>
      <c r="DK105" s="28"/>
      <c r="DL105" s="28"/>
      <c r="DM105" s="28"/>
      <c r="DN105" s="28"/>
      <c r="DO105" s="28"/>
      <c r="DP105" s="28"/>
      <c r="DQ105" s="28"/>
      <c r="DR105" s="28"/>
      <c r="DS105" s="28"/>
      <c r="DT105" s="28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9"/>
    </row>
    <row r="106" spans="4:138" ht="16.5" thickTop="1" thickBot="1" x14ac:dyDescent="0.55000000000000004">
      <c r="D106" s="101"/>
      <c r="E106" s="99"/>
      <c r="F106" s="4">
        <v>14</v>
      </c>
      <c r="G106" s="4">
        <v>11</v>
      </c>
      <c r="H106" s="4">
        <v>15</v>
      </c>
      <c r="I106" s="4">
        <v>8</v>
      </c>
      <c r="J106" s="4">
        <v>7</v>
      </c>
      <c r="K106" s="4">
        <v>6</v>
      </c>
      <c r="L106" s="4">
        <v>16</v>
      </c>
      <c r="M106" s="4">
        <v>2</v>
      </c>
      <c r="N106" s="4">
        <v>1</v>
      </c>
      <c r="O106" s="4">
        <v>5</v>
      </c>
      <c r="P106" s="4">
        <v>12</v>
      </c>
      <c r="Q106" s="4">
        <v>13</v>
      </c>
      <c r="R106" s="4">
        <v>3</v>
      </c>
      <c r="S106" s="4">
        <v>10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4">
        <v>0</v>
      </c>
      <c r="AM106" s="4">
        <v>0</v>
      </c>
      <c r="AN106" s="4">
        <v>0</v>
      </c>
      <c r="AO106" s="4">
        <v>0</v>
      </c>
      <c r="AP106" s="4">
        <v>0</v>
      </c>
      <c r="AQ106" s="4">
        <v>0</v>
      </c>
      <c r="AR106" s="4">
        <v>0</v>
      </c>
      <c r="AS106" s="4">
        <v>0</v>
      </c>
      <c r="AT106" s="4">
        <v>0</v>
      </c>
      <c r="AU106" s="4">
        <v>0</v>
      </c>
      <c r="AV106" s="4">
        <v>0</v>
      </c>
      <c r="AW106" s="4">
        <v>0</v>
      </c>
      <c r="AX106" s="4">
        <v>0</v>
      </c>
      <c r="AY106" s="4">
        <v>0</v>
      </c>
      <c r="AZ106" s="4">
        <v>0</v>
      </c>
      <c r="BA106" s="4">
        <v>0</v>
      </c>
      <c r="BB106" s="4">
        <v>0</v>
      </c>
      <c r="BC106" s="4">
        <v>0</v>
      </c>
      <c r="BD106" s="4">
        <v>0</v>
      </c>
      <c r="BE106" s="4">
        <v>0</v>
      </c>
      <c r="BF106" s="4">
        <v>0</v>
      </c>
      <c r="BG106" s="4">
        <v>0</v>
      </c>
      <c r="BH106" s="4">
        <v>0</v>
      </c>
      <c r="BI106" s="4">
        <v>0</v>
      </c>
      <c r="BJ106" s="4">
        <v>0</v>
      </c>
      <c r="BK106" s="4">
        <v>0</v>
      </c>
      <c r="BL106" s="4">
        <v>0</v>
      </c>
      <c r="BM106" s="4">
        <v>0</v>
      </c>
      <c r="BN106" s="4">
        <v>0</v>
      </c>
      <c r="BO106" s="4">
        <v>0</v>
      </c>
      <c r="BP106" s="4">
        <v>0</v>
      </c>
      <c r="BQ106" s="4">
        <v>0</v>
      </c>
      <c r="BW106" s="31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7"/>
    </row>
    <row r="107" spans="4:138" ht="16.149999999999999" thickBot="1" x14ac:dyDescent="0.55000000000000004">
      <c r="D107" s="100"/>
      <c r="E107" s="98" t="s">
        <v>12</v>
      </c>
      <c r="F107" s="4">
        <v>20</v>
      </c>
      <c r="G107" s="4">
        <v>32</v>
      </c>
      <c r="H107" s="4">
        <v>64</v>
      </c>
      <c r="I107" s="4">
        <v>34</v>
      </c>
      <c r="J107" s="4">
        <v>29</v>
      </c>
      <c r="K107" s="4">
        <v>4</v>
      </c>
      <c r="L107" s="4">
        <v>28</v>
      </c>
      <c r="M107" s="4">
        <v>9</v>
      </c>
      <c r="N107" s="4">
        <v>62</v>
      </c>
      <c r="O107" s="4">
        <v>46</v>
      </c>
      <c r="P107" s="4">
        <v>63</v>
      </c>
      <c r="Q107" s="4">
        <v>39</v>
      </c>
      <c r="R107" s="4">
        <v>48</v>
      </c>
      <c r="S107" s="4">
        <v>35</v>
      </c>
      <c r="T107" s="4">
        <v>21</v>
      </c>
      <c r="U107" s="4">
        <v>24</v>
      </c>
      <c r="V107" s="4">
        <v>43</v>
      </c>
      <c r="W107" s="4">
        <v>25</v>
      </c>
      <c r="X107" s="4">
        <v>60</v>
      </c>
      <c r="Y107" s="4">
        <v>52</v>
      </c>
      <c r="Z107" s="4">
        <v>58</v>
      </c>
      <c r="AA107" s="4">
        <v>36</v>
      </c>
      <c r="AB107" s="4">
        <v>42</v>
      </c>
      <c r="AC107" s="4">
        <v>57</v>
      </c>
      <c r="AD107" s="4">
        <v>23</v>
      </c>
      <c r="AE107" s="4">
        <v>50</v>
      </c>
      <c r="AF107" s="4">
        <v>30</v>
      </c>
      <c r="AG107" s="4">
        <v>22</v>
      </c>
      <c r="AH107" s="4">
        <v>37</v>
      </c>
      <c r="AI107" s="4">
        <v>47</v>
      </c>
      <c r="AJ107" s="4">
        <v>59</v>
      </c>
      <c r="AK107" s="4">
        <v>38</v>
      </c>
      <c r="AL107" s="4">
        <v>55</v>
      </c>
      <c r="AM107" s="4">
        <v>17</v>
      </c>
      <c r="AN107" s="4">
        <v>27</v>
      </c>
      <c r="AO107" s="4">
        <v>49</v>
      </c>
      <c r="AP107" s="4">
        <v>26</v>
      </c>
      <c r="AQ107" s="4">
        <v>53</v>
      </c>
      <c r="AR107" s="4">
        <v>54</v>
      </c>
      <c r="AS107" s="4">
        <v>61</v>
      </c>
      <c r="AT107" s="4">
        <v>18</v>
      </c>
      <c r="AU107" s="4">
        <v>45</v>
      </c>
      <c r="AV107" s="4">
        <v>31</v>
      </c>
      <c r="AW107" s="4">
        <v>41</v>
      </c>
      <c r="AX107" s="4">
        <v>33</v>
      </c>
      <c r="AY107" s="4">
        <v>40</v>
      </c>
      <c r="AZ107" s="4">
        <v>56</v>
      </c>
      <c r="BA107" s="4">
        <v>19</v>
      </c>
      <c r="BB107" s="4">
        <v>44</v>
      </c>
      <c r="BC107" s="4">
        <v>51</v>
      </c>
      <c r="BD107" s="4">
        <v>0</v>
      </c>
      <c r="BE107" s="4">
        <v>0</v>
      </c>
      <c r="BF107" s="4">
        <v>0</v>
      </c>
      <c r="BG107" s="4">
        <v>0</v>
      </c>
      <c r="BH107" s="4">
        <v>0</v>
      </c>
      <c r="BI107" s="4">
        <v>0</v>
      </c>
      <c r="BJ107" s="4">
        <v>0</v>
      </c>
      <c r="BK107" s="4">
        <v>0</v>
      </c>
      <c r="BL107" s="4">
        <v>0</v>
      </c>
      <c r="BM107" s="4">
        <v>0</v>
      </c>
      <c r="BN107" s="4">
        <v>0</v>
      </c>
      <c r="BO107" s="4">
        <v>0</v>
      </c>
      <c r="BP107" s="4">
        <v>0</v>
      </c>
      <c r="BQ107" s="4">
        <v>0</v>
      </c>
      <c r="BW107" s="32"/>
      <c r="BX107" s="28"/>
      <c r="BY107" s="28"/>
      <c r="BZ107" s="28"/>
      <c r="CA107" s="28"/>
      <c r="CB107" s="28"/>
      <c r="CC107" s="28"/>
      <c r="CD107" s="28"/>
      <c r="CE107" s="28"/>
      <c r="CF107" s="28"/>
      <c r="CG107" s="28"/>
      <c r="CH107" s="28"/>
      <c r="CI107" s="28"/>
      <c r="CJ107" s="28"/>
      <c r="CK107" s="28"/>
      <c r="CL107" s="28"/>
      <c r="CM107" s="28"/>
      <c r="CN107" s="28"/>
      <c r="CO107" s="28"/>
      <c r="CP107" s="28"/>
      <c r="CQ107" s="28"/>
      <c r="CR107" s="28"/>
      <c r="CS107" s="28"/>
      <c r="CT107" s="28"/>
      <c r="CU107" s="28"/>
      <c r="CV107" s="28"/>
      <c r="CW107" s="28"/>
      <c r="CX107" s="28"/>
      <c r="CY107" s="28"/>
      <c r="CZ107" s="28"/>
      <c r="DA107" s="28"/>
      <c r="DB107" s="28"/>
      <c r="DC107" s="28"/>
      <c r="DD107" s="28"/>
      <c r="DE107" s="28"/>
      <c r="DF107" s="28"/>
      <c r="DG107" s="28"/>
      <c r="DH107" s="28"/>
      <c r="DI107" s="28"/>
      <c r="DJ107" s="28"/>
      <c r="DK107" s="28"/>
      <c r="DL107" s="28"/>
      <c r="DM107" s="28"/>
      <c r="DN107" s="28"/>
      <c r="DO107" s="28"/>
      <c r="DP107" s="28"/>
      <c r="DQ107" s="28"/>
      <c r="DR107" s="28"/>
      <c r="DS107" s="28"/>
      <c r="DT107" s="28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9"/>
    </row>
    <row r="108" spans="4:138" ht="16.5" thickTop="1" thickBot="1" x14ac:dyDescent="0.55000000000000004">
      <c r="D108" s="101"/>
      <c r="E108" s="99"/>
      <c r="F108" s="4">
        <v>14</v>
      </c>
      <c r="G108" s="4">
        <v>11</v>
      </c>
      <c r="H108" s="4">
        <v>15</v>
      </c>
      <c r="I108" s="4">
        <v>8</v>
      </c>
      <c r="J108" s="4">
        <v>7</v>
      </c>
      <c r="K108" s="4">
        <v>6</v>
      </c>
      <c r="L108" s="4">
        <v>16</v>
      </c>
      <c r="M108" s="4">
        <v>2</v>
      </c>
      <c r="N108" s="4">
        <v>1</v>
      </c>
      <c r="O108" s="4">
        <v>5</v>
      </c>
      <c r="P108" s="4">
        <v>12</v>
      </c>
      <c r="Q108" s="4">
        <v>13</v>
      </c>
      <c r="R108" s="4">
        <v>3</v>
      </c>
      <c r="S108" s="4">
        <v>10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4">
        <v>0</v>
      </c>
      <c r="AM108" s="4">
        <v>0</v>
      </c>
      <c r="AN108" s="4">
        <v>0</v>
      </c>
      <c r="AO108" s="4">
        <v>0</v>
      </c>
      <c r="AP108" s="4">
        <v>0</v>
      </c>
      <c r="AQ108" s="4">
        <v>0</v>
      </c>
      <c r="AR108" s="4">
        <v>0</v>
      </c>
      <c r="AS108" s="4">
        <v>0</v>
      </c>
      <c r="AT108" s="4">
        <v>0</v>
      </c>
      <c r="AU108" s="4">
        <v>0</v>
      </c>
      <c r="AV108" s="4">
        <v>0</v>
      </c>
      <c r="AW108" s="4">
        <v>0</v>
      </c>
      <c r="AX108" s="4">
        <v>0</v>
      </c>
      <c r="AY108" s="4">
        <v>0</v>
      </c>
      <c r="AZ108" s="4">
        <v>0</v>
      </c>
      <c r="BA108" s="4">
        <v>0</v>
      </c>
      <c r="BB108" s="4">
        <v>0</v>
      </c>
      <c r="BC108" s="4">
        <v>0</v>
      </c>
      <c r="BD108" s="4">
        <v>0</v>
      </c>
      <c r="BE108" s="4">
        <v>0</v>
      </c>
      <c r="BF108" s="4">
        <v>0</v>
      </c>
      <c r="BG108" s="4">
        <v>0</v>
      </c>
      <c r="BH108" s="4">
        <v>0</v>
      </c>
      <c r="BI108" s="4">
        <v>0</v>
      </c>
      <c r="BJ108" s="4">
        <v>0</v>
      </c>
      <c r="BK108" s="4">
        <v>0</v>
      </c>
      <c r="BL108" s="4">
        <v>0</v>
      </c>
      <c r="BM108" s="4">
        <v>0</v>
      </c>
      <c r="BN108" s="4">
        <v>0</v>
      </c>
      <c r="BO108" s="4">
        <v>0</v>
      </c>
      <c r="BP108" s="4">
        <v>0</v>
      </c>
      <c r="BQ108" s="4">
        <v>0</v>
      </c>
      <c r="BW108" s="31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7"/>
    </row>
    <row r="109" spans="4:138" ht="16.149999999999999" thickBot="1" x14ac:dyDescent="0.55000000000000004">
      <c r="D109" s="100"/>
      <c r="E109" s="98" t="s">
        <v>12</v>
      </c>
      <c r="F109" s="4">
        <v>32</v>
      </c>
      <c r="G109" s="4">
        <v>64</v>
      </c>
      <c r="H109" s="4">
        <v>34</v>
      </c>
      <c r="I109" s="4">
        <v>29</v>
      </c>
      <c r="J109" s="4">
        <v>4</v>
      </c>
      <c r="K109" s="4">
        <v>28</v>
      </c>
      <c r="L109" s="4">
        <v>9</v>
      </c>
      <c r="M109" s="4">
        <v>62</v>
      </c>
      <c r="N109" s="4">
        <v>46</v>
      </c>
      <c r="O109" s="4">
        <v>63</v>
      </c>
      <c r="P109" s="4">
        <v>39</v>
      </c>
      <c r="Q109" s="4">
        <v>48</v>
      </c>
      <c r="R109" s="4">
        <v>35</v>
      </c>
      <c r="S109" s="4">
        <v>21</v>
      </c>
      <c r="T109" s="4">
        <v>24</v>
      </c>
      <c r="U109" s="4">
        <v>43</v>
      </c>
      <c r="V109" s="4">
        <v>25</v>
      </c>
      <c r="W109" s="4">
        <v>60</v>
      </c>
      <c r="X109" s="4">
        <v>52</v>
      </c>
      <c r="Y109" s="4">
        <v>58</v>
      </c>
      <c r="Z109" s="4">
        <v>36</v>
      </c>
      <c r="AA109" s="4">
        <v>42</v>
      </c>
      <c r="AB109" s="4">
        <v>57</v>
      </c>
      <c r="AC109" s="4">
        <v>23</v>
      </c>
      <c r="AD109" s="4">
        <v>50</v>
      </c>
      <c r="AE109" s="4">
        <v>30</v>
      </c>
      <c r="AF109" s="4">
        <v>22</v>
      </c>
      <c r="AG109" s="4">
        <v>37</v>
      </c>
      <c r="AH109" s="4">
        <v>47</v>
      </c>
      <c r="AI109" s="4">
        <v>59</v>
      </c>
      <c r="AJ109" s="4">
        <v>38</v>
      </c>
      <c r="AK109" s="4">
        <v>55</v>
      </c>
      <c r="AL109" s="4">
        <v>17</v>
      </c>
      <c r="AM109" s="4">
        <v>27</v>
      </c>
      <c r="AN109" s="4">
        <v>49</v>
      </c>
      <c r="AO109" s="4">
        <v>26</v>
      </c>
      <c r="AP109" s="4">
        <v>53</v>
      </c>
      <c r="AQ109" s="4">
        <v>54</v>
      </c>
      <c r="AR109" s="4">
        <v>61</v>
      </c>
      <c r="AS109" s="4">
        <v>18</v>
      </c>
      <c r="AT109" s="4">
        <v>45</v>
      </c>
      <c r="AU109" s="4">
        <v>31</v>
      </c>
      <c r="AV109" s="4">
        <v>41</v>
      </c>
      <c r="AW109" s="4">
        <v>33</v>
      </c>
      <c r="AX109" s="4">
        <v>40</v>
      </c>
      <c r="AY109" s="4">
        <v>56</v>
      </c>
      <c r="AZ109" s="4">
        <v>19</v>
      </c>
      <c r="BA109" s="4">
        <v>44</v>
      </c>
      <c r="BB109" s="4">
        <v>51</v>
      </c>
      <c r="BC109" s="4">
        <v>20</v>
      </c>
      <c r="BD109" s="4">
        <v>0</v>
      </c>
      <c r="BE109" s="4">
        <v>0</v>
      </c>
      <c r="BF109" s="4">
        <v>0</v>
      </c>
      <c r="BG109" s="4">
        <v>0</v>
      </c>
      <c r="BH109" s="4">
        <v>0</v>
      </c>
      <c r="BI109" s="4">
        <v>0</v>
      </c>
      <c r="BJ109" s="4">
        <v>0</v>
      </c>
      <c r="BK109" s="4">
        <v>0</v>
      </c>
      <c r="BL109" s="4">
        <v>0</v>
      </c>
      <c r="BM109" s="4">
        <v>0</v>
      </c>
      <c r="BN109" s="4">
        <v>0</v>
      </c>
      <c r="BO109" s="4">
        <v>0</v>
      </c>
      <c r="BP109" s="4">
        <v>0</v>
      </c>
      <c r="BQ109" s="4">
        <v>0</v>
      </c>
      <c r="BW109" s="32"/>
      <c r="BX109" s="28"/>
      <c r="BY109" s="28"/>
      <c r="BZ109" s="28"/>
      <c r="CA109" s="28"/>
      <c r="CB109" s="28"/>
      <c r="CC109" s="28"/>
      <c r="CD109" s="28"/>
      <c r="CE109" s="28"/>
      <c r="CF109" s="28"/>
      <c r="CG109" s="28"/>
      <c r="CH109" s="28"/>
      <c r="CI109" s="28"/>
      <c r="CJ109" s="28"/>
      <c r="CK109" s="28"/>
      <c r="CL109" s="28"/>
      <c r="CM109" s="28"/>
      <c r="CN109" s="28"/>
      <c r="CO109" s="28"/>
      <c r="CP109" s="28"/>
      <c r="CQ109" s="28"/>
      <c r="CR109" s="28"/>
      <c r="CS109" s="28"/>
      <c r="CT109" s="28"/>
      <c r="CU109" s="28"/>
      <c r="CV109" s="28"/>
      <c r="CW109" s="28"/>
      <c r="CX109" s="28"/>
      <c r="CY109" s="28"/>
      <c r="CZ109" s="28"/>
      <c r="DA109" s="28"/>
      <c r="DB109" s="28"/>
      <c r="DC109" s="28"/>
      <c r="DD109" s="28"/>
      <c r="DE109" s="28"/>
      <c r="DF109" s="28"/>
      <c r="DG109" s="28"/>
      <c r="DH109" s="28"/>
      <c r="DI109" s="28"/>
      <c r="DJ109" s="28"/>
      <c r="DK109" s="28"/>
      <c r="DL109" s="28"/>
      <c r="DM109" s="28"/>
      <c r="DN109" s="28"/>
      <c r="DO109" s="28"/>
      <c r="DP109" s="28"/>
      <c r="DQ109" s="28"/>
      <c r="DR109" s="28"/>
      <c r="DS109" s="28"/>
      <c r="DT109" s="28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9"/>
    </row>
    <row r="110" spans="4:138" ht="16.5" thickTop="1" thickBot="1" x14ac:dyDescent="0.55000000000000004">
      <c r="D110" s="101"/>
      <c r="E110" s="99"/>
      <c r="F110" s="4">
        <v>14</v>
      </c>
      <c r="G110" s="4">
        <v>11</v>
      </c>
      <c r="H110" s="4">
        <v>15</v>
      </c>
      <c r="I110" s="4">
        <v>8</v>
      </c>
      <c r="J110" s="4">
        <v>7</v>
      </c>
      <c r="K110" s="4">
        <v>6</v>
      </c>
      <c r="L110" s="4">
        <v>16</v>
      </c>
      <c r="M110" s="4">
        <v>2</v>
      </c>
      <c r="N110" s="4">
        <v>1</v>
      </c>
      <c r="O110" s="4">
        <v>5</v>
      </c>
      <c r="P110" s="4">
        <v>12</v>
      </c>
      <c r="Q110" s="4">
        <v>13</v>
      </c>
      <c r="R110" s="4">
        <v>3</v>
      </c>
      <c r="S110" s="4">
        <v>10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  <c r="AM110" s="4">
        <v>0</v>
      </c>
      <c r="AN110" s="4">
        <v>0</v>
      </c>
      <c r="AO110" s="4">
        <v>0</v>
      </c>
      <c r="AP110" s="4">
        <v>0</v>
      </c>
      <c r="AQ110" s="4">
        <v>0</v>
      </c>
      <c r="AR110" s="4">
        <v>0</v>
      </c>
      <c r="AS110" s="4">
        <v>0</v>
      </c>
      <c r="AT110" s="4">
        <v>0</v>
      </c>
      <c r="AU110" s="4">
        <v>0</v>
      </c>
      <c r="AV110" s="4">
        <v>0</v>
      </c>
      <c r="AW110" s="4">
        <v>0</v>
      </c>
      <c r="AX110" s="4">
        <v>0</v>
      </c>
      <c r="AY110" s="4">
        <v>0</v>
      </c>
      <c r="AZ110" s="4">
        <v>0</v>
      </c>
      <c r="BA110" s="4">
        <v>0</v>
      </c>
      <c r="BB110" s="4">
        <v>0</v>
      </c>
      <c r="BC110" s="4">
        <v>0</v>
      </c>
      <c r="BD110" s="4">
        <v>0</v>
      </c>
      <c r="BE110" s="4">
        <v>0</v>
      </c>
      <c r="BF110" s="4">
        <v>0</v>
      </c>
      <c r="BG110" s="4">
        <v>0</v>
      </c>
      <c r="BH110" s="4">
        <v>0</v>
      </c>
      <c r="BI110" s="4">
        <v>0</v>
      </c>
      <c r="BJ110" s="4">
        <v>0</v>
      </c>
      <c r="BK110" s="4">
        <v>0</v>
      </c>
      <c r="BL110" s="4">
        <v>0</v>
      </c>
      <c r="BM110" s="4">
        <v>0</v>
      </c>
      <c r="BN110" s="4">
        <v>0</v>
      </c>
      <c r="BO110" s="4">
        <v>0</v>
      </c>
      <c r="BP110" s="4">
        <v>0</v>
      </c>
      <c r="BQ110" s="4">
        <v>0</v>
      </c>
      <c r="BW110" s="31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7"/>
    </row>
    <row r="111" spans="4:138" ht="16.149999999999999" thickBot="1" x14ac:dyDescent="0.55000000000000004">
      <c r="D111" s="100"/>
      <c r="E111" s="98" t="s">
        <v>12</v>
      </c>
      <c r="F111" s="4">
        <v>64</v>
      </c>
      <c r="G111" s="4">
        <v>34</v>
      </c>
      <c r="H111" s="4">
        <v>29</v>
      </c>
      <c r="I111" s="4">
        <v>4</v>
      </c>
      <c r="J111" s="4">
        <v>28</v>
      </c>
      <c r="K111" s="4">
        <v>9</v>
      </c>
      <c r="L111" s="4">
        <v>62</v>
      </c>
      <c r="M111" s="4">
        <v>46</v>
      </c>
      <c r="N111" s="4">
        <v>63</v>
      </c>
      <c r="O111" s="4">
        <v>39</v>
      </c>
      <c r="P111" s="4">
        <v>48</v>
      </c>
      <c r="Q111" s="4">
        <v>35</v>
      </c>
      <c r="R111" s="4">
        <v>21</v>
      </c>
      <c r="S111" s="4">
        <v>24</v>
      </c>
      <c r="T111" s="4">
        <v>43</v>
      </c>
      <c r="U111" s="4">
        <v>25</v>
      </c>
      <c r="V111" s="4">
        <v>60</v>
      </c>
      <c r="W111" s="4">
        <v>52</v>
      </c>
      <c r="X111" s="4">
        <v>58</v>
      </c>
      <c r="Y111" s="4">
        <v>36</v>
      </c>
      <c r="Z111" s="4">
        <v>42</v>
      </c>
      <c r="AA111" s="4">
        <v>57</v>
      </c>
      <c r="AB111" s="4">
        <v>23</v>
      </c>
      <c r="AC111" s="4">
        <v>50</v>
      </c>
      <c r="AD111" s="4">
        <v>30</v>
      </c>
      <c r="AE111" s="4">
        <v>22</v>
      </c>
      <c r="AF111" s="4">
        <v>37</v>
      </c>
      <c r="AG111" s="4">
        <v>47</v>
      </c>
      <c r="AH111" s="4">
        <v>59</v>
      </c>
      <c r="AI111" s="4">
        <v>38</v>
      </c>
      <c r="AJ111" s="4">
        <v>55</v>
      </c>
      <c r="AK111" s="4">
        <v>17</v>
      </c>
      <c r="AL111" s="4">
        <v>27</v>
      </c>
      <c r="AM111" s="4">
        <v>49</v>
      </c>
      <c r="AN111" s="4">
        <v>26</v>
      </c>
      <c r="AO111" s="4">
        <v>53</v>
      </c>
      <c r="AP111" s="4">
        <v>54</v>
      </c>
      <c r="AQ111" s="4">
        <v>61</v>
      </c>
      <c r="AR111" s="4">
        <v>18</v>
      </c>
      <c r="AS111" s="4">
        <v>45</v>
      </c>
      <c r="AT111" s="4">
        <v>31</v>
      </c>
      <c r="AU111" s="4">
        <v>41</v>
      </c>
      <c r="AV111" s="4">
        <v>33</v>
      </c>
      <c r="AW111" s="4">
        <v>40</v>
      </c>
      <c r="AX111" s="4">
        <v>56</v>
      </c>
      <c r="AY111" s="4">
        <v>19</v>
      </c>
      <c r="AZ111" s="4">
        <v>44</v>
      </c>
      <c r="BA111" s="4">
        <v>51</v>
      </c>
      <c r="BB111" s="4">
        <v>20</v>
      </c>
      <c r="BC111" s="4">
        <v>32</v>
      </c>
      <c r="BD111" s="4">
        <v>0</v>
      </c>
      <c r="BE111" s="4">
        <v>0</v>
      </c>
      <c r="BF111" s="4">
        <v>0</v>
      </c>
      <c r="BG111" s="4">
        <v>0</v>
      </c>
      <c r="BH111" s="4">
        <v>0</v>
      </c>
      <c r="BI111" s="4">
        <v>0</v>
      </c>
      <c r="BJ111" s="4">
        <v>0</v>
      </c>
      <c r="BK111" s="4">
        <v>0</v>
      </c>
      <c r="BL111" s="4">
        <v>0</v>
      </c>
      <c r="BM111" s="4">
        <v>0</v>
      </c>
      <c r="BN111" s="4">
        <v>0</v>
      </c>
      <c r="BO111" s="4">
        <v>0</v>
      </c>
      <c r="BP111" s="4">
        <v>0</v>
      </c>
      <c r="BQ111" s="4">
        <v>0</v>
      </c>
      <c r="BW111" s="32"/>
      <c r="BX111" s="28"/>
      <c r="BY111" s="28"/>
      <c r="BZ111" s="28"/>
      <c r="CA111" s="28"/>
      <c r="CB111" s="28"/>
      <c r="CC111" s="28"/>
      <c r="CD111" s="28"/>
      <c r="CE111" s="28"/>
      <c r="CF111" s="28"/>
      <c r="CG111" s="28"/>
      <c r="CH111" s="28"/>
      <c r="CI111" s="28"/>
      <c r="CJ111" s="28"/>
      <c r="CK111" s="28"/>
      <c r="CL111" s="28"/>
      <c r="CM111" s="28"/>
      <c r="CN111" s="28"/>
      <c r="CO111" s="28"/>
      <c r="CP111" s="28"/>
      <c r="CQ111" s="28"/>
      <c r="CR111" s="28"/>
      <c r="CS111" s="28"/>
      <c r="CT111" s="28"/>
      <c r="CU111" s="28"/>
      <c r="CV111" s="28"/>
      <c r="CW111" s="28"/>
      <c r="CX111" s="28"/>
      <c r="CY111" s="28"/>
      <c r="CZ111" s="28"/>
      <c r="DA111" s="28"/>
      <c r="DB111" s="28"/>
      <c r="DC111" s="28"/>
      <c r="DD111" s="28"/>
      <c r="DE111" s="28"/>
      <c r="DF111" s="28"/>
      <c r="DG111" s="28"/>
      <c r="DH111" s="28"/>
      <c r="DI111" s="28"/>
      <c r="DJ111" s="28"/>
      <c r="DK111" s="28"/>
      <c r="DL111" s="28"/>
      <c r="DM111" s="28"/>
      <c r="DN111" s="28"/>
      <c r="DO111" s="28"/>
      <c r="DP111" s="28"/>
      <c r="DQ111" s="28"/>
      <c r="DR111" s="28"/>
      <c r="DS111" s="28"/>
      <c r="DT111" s="28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9"/>
    </row>
    <row r="112" spans="4:138" ht="16.5" thickTop="1" thickBot="1" x14ac:dyDescent="0.55000000000000004">
      <c r="D112" s="101"/>
      <c r="E112" s="99"/>
      <c r="F112" s="4">
        <v>14</v>
      </c>
      <c r="G112" s="4">
        <v>11</v>
      </c>
      <c r="H112" s="4">
        <v>15</v>
      </c>
      <c r="I112" s="4">
        <v>8</v>
      </c>
      <c r="J112" s="4">
        <v>7</v>
      </c>
      <c r="K112" s="4">
        <v>6</v>
      </c>
      <c r="L112" s="4">
        <v>16</v>
      </c>
      <c r="M112" s="4">
        <v>2</v>
      </c>
      <c r="N112" s="4">
        <v>1</v>
      </c>
      <c r="O112" s="4">
        <v>5</v>
      </c>
      <c r="P112" s="4">
        <v>12</v>
      </c>
      <c r="Q112" s="4">
        <v>13</v>
      </c>
      <c r="R112" s="4">
        <v>3</v>
      </c>
      <c r="S112" s="4">
        <v>10</v>
      </c>
      <c r="T112" s="4">
        <v>0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  <c r="Z112" s="4">
        <v>0</v>
      </c>
      <c r="AA112" s="4">
        <v>0</v>
      </c>
      <c r="AB112" s="4">
        <v>0</v>
      </c>
      <c r="AC112" s="4">
        <v>0</v>
      </c>
      <c r="AD112" s="4">
        <v>0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4">
        <v>0</v>
      </c>
      <c r="AO112" s="4">
        <v>0</v>
      </c>
      <c r="AP112" s="4">
        <v>0</v>
      </c>
      <c r="AQ112" s="4">
        <v>0</v>
      </c>
      <c r="AR112" s="4">
        <v>0</v>
      </c>
      <c r="AS112" s="4">
        <v>0</v>
      </c>
      <c r="AT112" s="4">
        <v>0</v>
      </c>
      <c r="AU112" s="4">
        <v>0</v>
      </c>
      <c r="AV112" s="4">
        <v>0</v>
      </c>
      <c r="AW112" s="4">
        <v>0</v>
      </c>
      <c r="AX112" s="4">
        <v>0</v>
      </c>
      <c r="AY112" s="4">
        <v>0</v>
      </c>
      <c r="AZ112" s="4">
        <v>0</v>
      </c>
      <c r="BA112" s="4">
        <v>0</v>
      </c>
      <c r="BB112" s="4">
        <v>0</v>
      </c>
      <c r="BC112" s="4">
        <v>0</v>
      </c>
      <c r="BD112" s="4">
        <v>0</v>
      </c>
      <c r="BE112" s="4">
        <v>0</v>
      </c>
      <c r="BF112" s="4">
        <v>0</v>
      </c>
      <c r="BG112" s="4">
        <v>0</v>
      </c>
      <c r="BH112" s="4">
        <v>0</v>
      </c>
      <c r="BI112" s="4">
        <v>0</v>
      </c>
      <c r="BJ112" s="4">
        <v>0</v>
      </c>
      <c r="BK112" s="4">
        <v>0</v>
      </c>
      <c r="BL112" s="4">
        <v>0</v>
      </c>
      <c r="BM112" s="4">
        <v>0</v>
      </c>
      <c r="BN112" s="4">
        <v>0</v>
      </c>
      <c r="BO112" s="4">
        <v>0</v>
      </c>
      <c r="BP112" s="4">
        <v>0</v>
      </c>
      <c r="BQ112" s="4">
        <v>0</v>
      </c>
      <c r="BW112" s="31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7"/>
    </row>
    <row r="113" spans="4:138" ht="16.149999999999999" thickBot="1" x14ac:dyDescent="0.55000000000000004">
      <c r="D113" s="100"/>
      <c r="E113" s="98" t="s">
        <v>12</v>
      </c>
      <c r="F113" s="4">
        <v>34</v>
      </c>
      <c r="G113" s="4">
        <v>29</v>
      </c>
      <c r="H113" s="4">
        <v>4</v>
      </c>
      <c r="I113" s="4">
        <v>28</v>
      </c>
      <c r="J113" s="4">
        <v>9</v>
      </c>
      <c r="K113" s="4">
        <v>62</v>
      </c>
      <c r="L113" s="4">
        <v>46</v>
      </c>
      <c r="M113" s="4">
        <v>63</v>
      </c>
      <c r="N113" s="4">
        <v>39</v>
      </c>
      <c r="O113" s="4">
        <v>48</v>
      </c>
      <c r="P113" s="4">
        <v>35</v>
      </c>
      <c r="Q113" s="4">
        <v>21</v>
      </c>
      <c r="R113" s="4">
        <v>24</v>
      </c>
      <c r="S113" s="4">
        <v>43</v>
      </c>
      <c r="T113" s="4">
        <v>25</v>
      </c>
      <c r="U113" s="4">
        <v>60</v>
      </c>
      <c r="V113" s="4">
        <v>52</v>
      </c>
      <c r="W113" s="4">
        <v>58</v>
      </c>
      <c r="X113" s="4">
        <v>36</v>
      </c>
      <c r="Y113" s="4">
        <v>42</v>
      </c>
      <c r="Z113" s="4">
        <v>57</v>
      </c>
      <c r="AA113" s="4">
        <v>23</v>
      </c>
      <c r="AB113" s="4">
        <v>50</v>
      </c>
      <c r="AC113" s="4">
        <v>30</v>
      </c>
      <c r="AD113" s="4">
        <v>22</v>
      </c>
      <c r="AE113" s="4">
        <v>37</v>
      </c>
      <c r="AF113" s="4">
        <v>47</v>
      </c>
      <c r="AG113" s="4">
        <v>59</v>
      </c>
      <c r="AH113" s="4">
        <v>38</v>
      </c>
      <c r="AI113" s="4">
        <v>55</v>
      </c>
      <c r="AJ113" s="4">
        <v>17</v>
      </c>
      <c r="AK113" s="4">
        <v>27</v>
      </c>
      <c r="AL113" s="4">
        <v>49</v>
      </c>
      <c r="AM113" s="4">
        <v>26</v>
      </c>
      <c r="AN113" s="4">
        <v>53</v>
      </c>
      <c r="AO113" s="4">
        <v>54</v>
      </c>
      <c r="AP113" s="4">
        <v>61</v>
      </c>
      <c r="AQ113" s="4">
        <v>18</v>
      </c>
      <c r="AR113" s="4">
        <v>45</v>
      </c>
      <c r="AS113" s="4">
        <v>31</v>
      </c>
      <c r="AT113" s="4">
        <v>41</v>
      </c>
      <c r="AU113" s="4">
        <v>33</v>
      </c>
      <c r="AV113" s="4">
        <v>40</v>
      </c>
      <c r="AW113" s="4">
        <v>56</v>
      </c>
      <c r="AX113" s="4">
        <v>19</v>
      </c>
      <c r="AY113" s="4">
        <v>44</v>
      </c>
      <c r="AZ113" s="4">
        <v>51</v>
      </c>
      <c r="BA113" s="4">
        <v>20</v>
      </c>
      <c r="BB113" s="4">
        <v>32</v>
      </c>
      <c r="BC113" s="4">
        <v>64</v>
      </c>
      <c r="BD113" s="4">
        <v>0</v>
      </c>
      <c r="BE113" s="4">
        <v>0</v>
      </c>
      <c r="BF113" s="4">
        <v>0</v>
      </c>
      <c r="BG113" s="4">
        <v>0</v>
      </c>
      <c r="BH113" s="4">
        <v>0</v>
      </c>
      <c r="BI113" s="4">
        <v>0</v>
      </c>
      <c r="BJ113" s="4">
        <v>0</v>
      </c>
      <c r="BK113" s="4">
        <v>0</v>
      </c>
      <c r="BL113" s="4">
        <v>0</v>
      </c>
      <c r="BM113" s="4">
        <v>0</v>
      </c>
      <c r="BN113" s="4">
        <v>0</v>
      </c>
      <c r="BO113" s="4">
        <v>0</v>
      </c>
      <c r="BP113" s="4">
        <v>0</v>
      </c>
      <c r="BQ113" s="4">
        <v>0</v>
      </c>
      <c r="BW113" s="32"/>
      <c r="BX113" s="28"/>
      <c r="BY113" s="28"/>
      <c r="BZ113" s="28"/>
      <c r="CA113" s="28"/>
      <c r="CB113" s="28"/>
      <c r="CC113" s="28"/>
      <c r="CD113" s="28"/>
      <c r="CE113" s="28"/>
      <c r="CF113" s="28"/>
      <c r="CG113" s="28"/>
      <c r="CH113" s="28"/>
      <c r="CI113" s="28"/>
      <c r="CJ113" s="28"/>
      <c r="CK113" s="28"/>
      <c r="CL113" s="28"/>
      <c r="CM113" s="28"/>
      <c r="CN113" s="28"/>
      <c r="CO113" s="28"/>
      <c r="CP113" s="28"/>
      <c r="CQ113" s="28"/>
      <c r="CR113" s="28"/>
      <c r="CS113" s="28"/>
      <c r="CT113" s="28"/>
      <c r="CU113" s="28"/>
      <c r="CV113" s="28"/>
      <c r="CW113" s="28"/>
      <c r="CX113" s="28"/>
      <c r="CY113" s="28"/>
      <c r="CZ113" s="28"/>
      <c r="DA113" s="28"/>
      <c r="DB113" s="28"/>
      <c r="DC113" s="28"/>
      <c r="DD113" s="28"/>
      <c r="DE113" s="28"/>
      <c r="DF113" s="28"/>
      <c r="DG113" s="28"/>
      <c r="DH113" s="28"/>
      <c r="DI113" s="28"/>
      <c r="DJ113" s="28"/>
      <c r="DK113" s="28"/>
      <c r="DL113" s="28"/>
      <c r="DM113" s="28"/>
      <c r="DN113" s="28"/>
      <c r="DO113" s="28"/>
      <c r="DP113" s="28"/>
      <c r="DQ113" s="28"/>
      <c r="DR113" s="28"/>
      <c r="DS113" s="28"/>
      <c r="DT113" s="28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9"/>
    </row>
    <row r="114" spans="4:138" ht="16.5" thickTop="1" thickBot="1" x14ac:dyDescent="0.55000000000000004">
      <c r="D114" s="101"/>
      <c r="E114" s="99"/>
      <c r="F114" s="4">
        <v>14</v>
      </c>
      <c r="G114" s="4">
        <v>11</v>
      </c>
      <c r="H114" s="4">
        <v>15</v>
      </c>
      <c r="I114" s="4">
        <v>8</v>
      </c>
      <c r="J114" s="4">
        <v>7</v>
      </c>
      <c r="K114" s="4">
        <v>6</v>
      </c>
      <c r="L114" s="4">
        <v>16</v>
      </c>
      <c r="M114" s="4">
        <v>2</v>
      </c>
      <c r="N114" s="4">
        <v>1</v>
      </c>
      <c r="O114" s="4">
        <v>5</v>
      </c>
      <c r="P114" s="4">
        <v>12</v>
      </c>
      <c r="Q114" s="4">
        <v>13</v>
      </c>
      <c r="R114" s="4">
        <v>3</v>
      </c>
      <c r="S114" s="4">
        <v>10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4">
        <v>0</v>
      </c>
      <c r="AM114" s="4">
        <v>0</v>
      </c>
      <c r="AN114" s="4">
        <v>0</v>
      </c>
      <c r="AO114" s="4">
        <v>0</v>
      </c>
      <c r="AP114" s="4">
        <v>0</v>
      </c>
      <c r="AQ114" s="4">
        <v>0</v>
      </c>
      <c r="AR114" s="4">
        <v>0</v>
      </c>
      <c r="AS114" s="4">
        <v>0</v>
      </c>
      <c r="AT114" s="4">
        <v>0</v>
      </c>
      <c r="AU114" s="4">
        <v>0</v>
      </c>
      <c r="AV114" s="4">
        <v>0</v>
      </c>
      <c r="AW114" s="4">
        <v>0</v>
      </c>
      <c r="AX114" s="4">
        <v>0</v>
      </c>
      <c r="AY114" s="4">
        <v>0</v>
      </c>
      <c r="AZ114" s="4">
        <v>0</v>
      </c>
      <c r="BA114" s="4">
        <v>0</v>
      </c>
      <c r="BB114" s="4">
        <v>0</v>
      </c>
      <c r="BC114" s="4">
        <v>0</v>
      </c>
      <c r="BD114" s="4">
        <v>0</v>
      </c>
      <c r="BE114" s="4">
        <v>0</v>
      </c>
      <c r="BF114" s="4">
        <v>0</v>
      </c>
      <c r="BG114" s="4">
        <v>0</v>
      </c>
      <c r="BH114" s="4">
        <v>0</v>
      </c>
      <c r="BI114" s="4">
        <v>0</v>
      </c>
      <c r="BJ114" s="4">
        <v>0</v>
      </c>
      <c r="BK114" s="4">
        <v>0</v>
      </c>
      <c r="BL114" s="4">
        <v>0</v>
      </c>
      <c r="BM114" s="4">
        <v>0</v>
      </c>
      <c r="BN114" s="4">
        <v>0</v>
      </c>
      <c r="BO114" s="4">
        <v>0</v>
      </c>
      <c r="BP114" s="4">
        <v>0</v>
      </c>
      <c r="BQ114" s="4">
        <v>0</v>
      </c>
      <c r="BW114" s="31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7"/>
    </row>
    <row r="115" spans="4:138" ht="16.149999999999999" thickBot="1" x14ac:dyDescent="0.55000000000000004">
      <c r="D115" s="100"/>
      <c r="E115" s="98" t="s">
        <v>12</v>
      </c>
      <c r="F115" s="4">
        <v>29</v>
      </c>
      <c r="G115" s="4">
        <v>4</v>
      </c>
      <c r="H115" s="4">
        <v>28</v>
      </c>
      <c r="I115" s="4">
        <v>9</v>
      </c>
      <c r="J115" s="4">
        <v>62</v>
      </c>
      <c r="K115" s="4">
        <v>46</v>
      </c>
      <c r="L115" s="4">
        <v>63</v>
      </c>
      <c r="M115" s="4">
        <v>39</v>
      </c>
      <c r="N115" s="4">
        <v>48</v>
      </c>
      <c r="O115" s="4">
        <v>35</v>
      </c>
      <c r="P115" s="4">
        <v>21</v>
      </c>
      <c r="Q115" s="4">
        <v>24</v>
      </c>
      <c r="R115" s="4">
        <v>43</v>
      </c>
      <c r="S115" s="4">
        <v>25</v>
      </c>
      <c r="T115" s="4">
        <v>60</v>
      </c>
      <c r="U115" s="4">
        <v>52</v>
      </c>
      <c r="V115" s="4">
        <v>58</v>
      </c>
      <c r="W115" s="4">
        <v>36</v>
      </c>
      <c r="X115" s="4">
        <v>42</v>
      </c>
      <c r="Y115" s="4">
        <v>57</v>
      </c>
      <c r="Z115" s="4">
        <v>23</v>
      </c>
      <c r="AA115" s="4">
        <v>50</v>
      </c>
      <c r="AB115" s="4">
        <v>30</v>
      </c>
      <c r="AC115" s="4">
        <v>22</v>
      </c>
      <c r="AD115" s="4">
        <v>37</v>
      </c>
      <c r="AE115" s="4">
        <v>47</v>
      </c>
      <c r="AF115" s="4">
        <v>59</v>
      </c>
      <c r="AG115" s="4">
        <v>38</v>
      </c>
      <c r="AH115" s="4">
        <v>55</v>
      </c>
      <c r="AI115" s="4">
        <v>17</v>
      </c>
      <c r="AJ115" s="4">
        <v>27</v>
      </c>
      <c r="AK115" s="4">
        <v>49</v>
      </c>
      <c r="AL115" s="4">
        <v>26</v>
      </c>
      <c r="AM115" s="4">
        <v>53</v>
      </c>
      <c r="AN115" s="4">
        <v>54</v>
      </c>
      <c r="AO115" s="4">
        <v>61</v>
      </c>
      <c r="AP115" s="4">
        <v>18</v>
      </c>
      <c r="AQ115" s="4">
        <v>45</v>
      </c>
      <c r="AR115" s="4">
        <v>31</v>
      </c>
      <c r="AS115" s="4">
        <v>41</v>
      </c>
      <c r="AT115" s="4">
        <v>33</v>
      </c>
      <c r="AU115" s="4">
        <v>40</v>
      </c>
      <c r="AV115" s="4">
        <v>56</v>
      </c>
      <c r="AW115" s="4">
        <v>19</v>
      </c>
      <c r="AX115" s="4">
        <v>44</v>
      </c>
      <c r="AY115" s="4">
        <v>51</v>
      </c>
      <c r="AZ115" s="4">
        <v>20</v>
      </c>
      <c r="BA115" s="4">
        <v>32</v>
      </c>
      <c r="BB115" s="4">
        <v>64</v>
      </c>
      <c r="BC115" s="4">
        <v>34</v>
      </c>
      <c r="BD115" s="4">
        <v>0</v>
      </c>
      <c r="BE115" s="4">
        <v>0</v>
      </c>
      <c r="BF115" s="4">
        <v>0</v>
      </c>
      <c r="BG115" s="4">
        <v>0</v>
      </c>
      <c r="BH115" s="4">
        <v>0</v>
      </c>
      <c r="BI115" s="4">
        <v>0</v>
      </c>
      <c r="BJ115" s="4">
        <v>0</v>
      </c>
      <c r="BK115" s="4">
        <v>0</v>
      </c>
      <c r="BL115" s="4">
        <v>0</v>
      </c>
      <c r="BM115" s="4">
        <v>0</v>
      </c>
      <c r="BN115" s="4">
        <v>0</v>
      </c>
      <c r="BO115" s="4">
        <v>0</v>
      </c>
      <c r="BP115" s="4">
        <v>0</v>
      </c>
      <c r="BQ115" s="4">
        <v>0</v>
      </c>
      <c r="BW115" s="32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  <c r="DB115" s="28"/>
      <c r="DC115" s="28"/>
      <c r="DD115" s="28"/>
      <c r="DE115" s="28"/>
      <c r="DF115" s="28"/>
      <c r="DG115" s="28"/>
      <c r="DH115" s="28"/>
      <c r="DI115" s="28"/>
      <c r="DJ115" s="28"/>
      <c r="DK115" s="28"/>
      <c r="DL115" s="28"/>
      <c r="DM115" s="28"/>
      <c r="DN115" s="28"/>
      <c r="DO115" s="28"/>
      <c r="DP115" s="28"/>
      <c r="DQ115" s="28"/>
      <c r="DR115" s="28"/>
      <c r="DS115" s="28"/>
      <c r="DT115" s="28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9"/>
    </row>
    <row r="116" spans="4:138" ht="16.5" thickTop="1" thickBot="1" x14ac:dyDescent="0.55000000000000004">
      <c r="D116" s="101"/>
      <c r="E116" s="99"/>
      <c r="F116" s="4">
        <v>14</v>
      </c>
      <c r="G116" s="4">
        <v>11</v>
      </c>
      <c r="H116" s="4">
        <v>15</v>
      </c>
      <c r="I116" s="4">
        <v>8</v>
      </c>
      <c r="J116" s="4">
        <v>7</v>
      </c>
      <c r="K116" s="4">
        <v>6</v>
      </c>
      <c r="L116" s="4">
        <v>16</v>
      </c>
      <c r="M116" s="4">
        <v>2</v>
      </c>
      <c r="N116" s="4">
        <v>1</v>
      </c>
      <c r="O116" s="4">
        <v>5</v>
      </c>
      <c r="P116" s="4">
        <v>12</v>
      </c>
      <c r="Q116" s="4">
        <v>13</v>
      </c>
      <c r="R116" s="4">
        <v>3</v>
      </c>
      <c r="S116" s="4">
        <v>10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  <c r="AM116" s="4">
        <v>0</v>
      </c>
      <c r="AN116" s="4">
        <v>0</v>
      </c>
      <c r="AO116" s="4">
        <v>0</v>
      </c>
      <c r="AP116" s="4">
        <v>0</v>
      </c>
      <c r="AQ116" s="4">
        <v>0</v>
      </c>
      <c r="AR116" s="4">
        <v>0</v>
      </c>
      <c r="AS116" s="4">
        <v>0</v>
      </c>
      <c r="AT116" s="4">
        <v>0</v>
      </c>
      <c r="AU116" s="4">
        <v>0</v>
      </c>
      <c r="AV116" s="4">
        <v>0</v>
      </c>
      <c r="AW116" s="4">
        <v>0</v>
      </c>
      <c r="AX116" s="4">
        <v>0</v>
      </c>
      <c r="AY116" s="4">
        <v>0</v>
      </c>
      <c r="AZ116" s="4">
        <v>0</v>
      </c>
      <c r="BA116" s="4">
        <v>0</v>
      </c>
      <c r="BB116" s="4">
        <v>0</v>
      </c>
      <c r="BC116" s="4">
        <v>0</v>
      </c>
      <c r="BD116" s="4">
        <v>0</v>
      </c>
      <c r="BE116" s="4">
        <v>0</v>
      </c>
      <c r="BF116" s="4">
        <v>0</v>
      </c>
      <c r="BG116" s="4">
        <v>0</v>
      </c>
      <c r="BH116" s="4">
        <v>0</v>
      </c>
      <c r="BI116" s="4">
        <v>0</v>
      </c>
      <c r="BJ116" s="4">
        <v>0</v>
      </c>
      <c r="BK116" s="4">
        <v>0</v>
      </c>
      <c r="BL116" s="4">
        <v>0</v>
      </c>
      <c r="BM116" s="4">
        <v>0</v>
      </c>
      <c r="BN116" s="4">
        <v>0</v>
      </c>
      <c r="BO116" s="4">
        <v>0</v>
      </c>
      <c r="BP116" s="4">
        <v>0</v>
      </c>
      <c r="BQ116" s="4">
        <v>0</v>
      </c>
      <c r="BW116" s="31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7"/>
    </row>
    <row r="117" spans="4:138" ht="16.149999999999999" thickBot="1" x14ac:dyDescent="0.55000000000000004">
      <c r="D117" s="100"/>
      <c r="E117" s="98" t="s">
        <v>12</v>
      </c>
      <c r="F117" s="4">
        <v>4</v>
      </c>
      <c r="G117" s="4">
        <v>28</v>
      </c>
      <c r="H117" s="4">
        <v>9</v>
      </c>
      <c r="I117" s="4">
        <v>62</v>
      </c>
      <c r="J117" s="4">
        <v>46</v>
      </c>
      <c r="K117" s="4">
        <v>63</v>
      </c>
      <c r="L117" s="4">
        <v>39</v>
      </c>
      <c r="M117" s="4">
        <v>48</v>
      </c>
      <c r="N117" s="4">
        <v>35</v>
      </c>
      <c r="O117" s="4">
        <v>21</v>
      </c>
      <c r="P117" s="4">
        <v>24</v>
      </c>
      <c r="Q117" s="4">
        <v>43</v>
      </c>
      <c r="R117" s="4">
        <v>25</v>
      </c>
      <c r="S117" s="4">
        <v>60</v>
      </c>
      <c r="T117" s="4">
        <v>52</v>
      </c>
      <c r="U117" s="4">
        <v>58</v>
      </c>
      <c r="V117" s="4">
        <v>36</v>
      </c>
      <c r="W117" s="4">
        <v>42</v>
      </c>
      <c r="X117" s="4">
        <v>57</v>
      </c>
      <c r="Y117" s="4">
        <v>23</v>
      </c>
      <c r="Z117" s="4">
        <v>50</v>
      </c>
      <c r="AA117" s="4">
        <v>30</v>
      </c>
      <c r="AB117" s="4">
        <v>22</v>
      </c>
      <c r="AC117" s="4">
        <v>37</v>
      </c>
      <c r="AD117" s="4">
        <v>47</v>
      </c>
      <c r="AE117" s="4">
        <v>59</v>
      </c>
      <c r="AF117" s="4">
        <v>38</v>
      </c>
      <c r="AG117" s="4">
        <v>55</v>
      </c>
      <c r="AH117" s="4">
        <v>17</v>
      </c>
      <c r="AI117" s="4">
        <v>27</v>
      </c>
      <c r="AJ117" s="4">
        <v>49</v>
      </c>
      <c r="AK117" s="4">
        <v>26</v>
      </c>
      <c r="AL117" s="4">
        <v>53</v>
      </c>
      <c r="AM117" s="4">
        <v>54</v>
      </c>
      <c r="AN117" s="4">
        <v>61</v>
      </c>
      <c r="AO117" s="4">
        <v>18</v>
      </c>
      <c r="AP117" s="4">
        <v>45</v>
      </c>
      <c r="AQ117" s="4">
        <v>31</v>
      </c>
      <c r="AR117" s="4">
        <v>41</v>
      </c>
      <c r="AS117" s="4">
        <v>33</v>
      </c>
      <c r="AT117" s="4">
        <v>40</v>
      </c>
      <c r="AU117" s="4">
        <v>56</v>
      </c>
      <c r="AV117" s="4">
        <v>19</v>
      </c>
      <c r="AW117" s="4">
        <v>44</v>
      </c>
      <c r="AX117" s="4">
        <v>51</v>
      </c>
      <c r="AY117" s="4">
        <v>20</v>
      </c>
      <c r="AZ117" s="4">
        <v>32</v>
      </c>
      <c r="BA117" s="4">
        <v>64</v>
      </c>
      <c r="BB117" s="4">
        <v>34</v>
      </c>
      <c r="BC117" s="4">
        <v>29</v>
      </c>
      <c r="BD117" s="4">
        <v>0</v>
      </c>
      <c r="BE117" s="4">
        <v>0</v>
      </c>
      <c r="BF117" s="4">
        <v>0</v>
      </c>
      <c r="BG117" s="4">
        <v>0</v>
      </c>
      <c r="BH117" s="4">
        <v>0</v>
      </c>
      <c r="BI117" s="4">
        <v>0</v>
      </c>
      <c r="BJ117" s="4">
        <v>0</v>
      </c>
      <c r="BK117" s="4">
        <v>0</v>
      </c>
      <c r="BL117" s="4">
        <v>0</v>
      </c>
      <c r="BM117" s="4">
        <v>0</v>
      </c>
      <c r="BN117" s="4">
        <v>0</v>
      </c>
      <c r="BO117" s="4">
        <v>0</v>
      </c>
      <c r="BP117" s="4">
        <v>0</v>
      </c>
      <c r="BQ117" s="4">
        <v>0</v>
      </c>
      <c r="BW117" s="32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9"/>
    </row>
    <row r="118" spans="4:138" ht="16.5" thickTop="1" thickBot="1" x14ac:dyDescent="0.55000000000000004">
      <c r="D118" s="101"/>
      <c r="E118" s="99"/>
      <c r="F118" s="4">
        <v>14</v>
      </c>
      <c r="G118" s="4">
        <v>11</v>
      </c>
      <c r="H118" s="4">
        <v>15</v>
      </c>
      <c r="I118" s="4">
        <v>8</v>
      </c>
      <c r="J118" s="4">
        <v>7</v>
      </c>
      <c r="K118" s="4">
        <v>6</v>
      </c>
      <c r="L118" s="4">
        <v>16</v>
      </c>
      <c r="M118" s="4">
        <v>2</v>
      </c>
      <c r="N118" s="4">
        <v>1</v>
      </c>
      <c r="O118" s="4">
        <v>5</v>
      </c>
      <c r="P118" s="4">
        <v>12</v>
      </c>
      <c r="Q118" s="4">
        <v>13</v>
      </c>
      <c r="R118" s="4">
        <v>3</v>
      </c>
      <c r="S118" s="4">
        <v>10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0</v>
      </c>
      <c r="AJ118" s="4">
        <v>0</v>
      </c>
      <c r="AK118" s="4">
        <v>0</v>
      </c>
      <c r="AL118" s="4">
        <v>0</v>
      </c>
      <c r="AM118" s="4">
        <v>0</v>
      </c>
      <c r="AN118" s="4">
        <v>0</v>
      </c>
      <c r="AO118" s="4">
        <v>0</v>
      </c>
      <c r="AP118" s="4">
        <v>0</v>
      </c>
      <c r="AQ118" s="4">
        <v>0</v>
      </c>
      <c r="AR118" s="4">
        <v>0</v>
      </c>
      <c r="AS118" s="4">
        <v>0</v>
      </c>
      <c r="AT118" s="4">
        <v>0</v>
      </c>
      <c r="AU118" s="4">
        <v>0</v>
      </c>
      <c r="AV118" s="4">
        <v>0</v>
      </c>
      <c r="AW118" s="4">
        <v>0</v>
      </c>
      <c r="AX118" s="4">
        <v>0</v>
      </c>
      <c r="AY118" s="4">
        <v>0</v>
      </c>
      <c r="AZ118" s="4">
        <v>0</v>
      </c>
      <c r="BA118" s="4">
        <v>0</v>
      </c>
      <c r="BB118" s="4">
        <v>0</v>
      </c>
      <c r="BC118" s="4">
        <v>0</v>
      </c>
      <c r="BD118" s="4">
        <v>0</v>
      </c>
      <c r="BE118" s="4">
        <v>0</v>
      </c>
      <c r="BF118" s="4">
        <v>0</v>
      </c>
      <c r="BG118" s="4">
        <v>0</v>
      </c>
      <c r="BH118" s="4">
        <v>0</v>
      </c>
      <c r="BI118" s="4">
        <v>0</v>
      </c>
      <c r="BJ118" s="4">
        <v>0</v>
      </c>
      <c r="BK118" s="4">
        <v>0</v>
      </c>
      <c r="BL118" s="4">
        <v>0</v>
      </c>
      <c r="BM118" s="4">
        <v>0</v>
      </c>
      <c r="BN118" s="4">
        <v>0</v>
      </c>
      <c r="BO118" s="4">
        <v>0</v>
      </c>
      <c r="BP118" s="4">
        <v>0</v>
      </c>
      <c r="BQ118" s="4">
        <v>0</v>
      </c>
      <c r="BW118" s="31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7"/>
    </row>
    <row r="119" spans="4:138" ht="16.149999999999999" thickBot="1" x14ac:dyDescent="0.55000000000000004">
      <c r="D119" s="100"/>
      <c r="E119" s="98" t="s">
        <v>13</v>
      </c>
      <c r="F119" s="4">
        <v>28</v>
      </c>
      <c r="G119" s="4">
        <v>9</v>
      </c>
      <c r="H119" s="4">
        <v>62</v>
      </c>
      <c r="I119" s="4">
        <v>46</v>
      </c>
      <c r="J119" s="4">
        <v>63</v>
      </c>
      <c r="K119" s="4">
        <v>39</v>
      </c>
      <c r="L119" s="4">
        <v>48</v>
      </c>
      <c r="M119" s="4">
        <v>35</v>
      </c>
      <c r="N119" s="4">
        <v>21</v>
      </c>
      <c r="O119" s="4">
        <v>24</v>
      </c>
      <c r="P119" s="4">
        <v>43</v>
      </c>
      <c r="Q119" s="4">
        <v>25</v>
      </c>
      <c r="R119" s="4">
        <v>60</v>
      </c>
      <c r="S119" s="4">
        <v>52</v>
      </c>
      <c r="T119" s="4">
        <v>58</v>
      </c>
      <c r="U119" s="4">
        <v>36</v>
      </c>
      <c r="V119" s="4">
        <v>42</v>
      </c>
      <c r="W119" s="4">
        <v>57</v>
      </c>
      <c r="X119" s="4">
        <v>23</v>
      </c>
      <c r="Y119" s="4">
        <v>50</v>
      </c>
      <c r="Z119" s="4">
        <v>30</v>
      </c>
      <c r="AA119" s="4">
        <v>22</v>
      </c>
      <c r="AB119" s="4">
        <v>37</v>
      </c>
      <c r="AC119" s="4">
        <v>47</v>
      </c>
      <c r="AD119" s="4">
        <v>59</v>
      </c>
      <c r="AE119" s="4">
        <v>38</v>
      </c>
      <c r="AF119" s="4">
        <v>55</v>
      </c>
      <c r="AG119" s="4">
        <v>17</v>
      </c>
      <c r="AH119" s="4">
        <v>27</v>
      </c>
      <c r="AI119" s="4">
        <v>49</v>
      </c>
      <c r="AJ119" s="4">
        <v>26</v>
      </c>
      <c r="AK119" s="4">
        <v>53</v>
      </c>
      <c r="AL119" s="4">
        <v>54</v>
      </c>
      <c r="AM119" s="4">
        <v>61</v>
      </c>
      <c r="AN119" s="4">
        <v>18</v>
      </c>
      <c r="AO119" s="4">
        <v>45</v>
      </c>
      <c r="AP119" s="4">
        <v>31</v>
      </c>
      <c r="AQ119" s="4">
        <v>41</v>
      </c>
      <c r="AR119" s="4">
        <v>33</v>
      </c>
      <c r="AS119" s="4">
        <v>40</v>
      </c>
      <c r="AT119" s="4">
        <v>56</v>
      </c>
      <c r="AU119" s="4">
        <v>19</v>
      </c>
      <c r="AV119" s="4">
        <v>44</v>
      </c>
      <c r="AW119" s="4">
        <v>51</v>
      </c>
      <c r="AX119" s="4">
        <v>20</v>
      </c>
      <c r="AY119" s="4">
        <v>32</v>
      </c>
      <c r="AZ119" s="4">
        <v>64</v>
      </c>
      <c r="BA119" s="4">
        <v>34</v>
      </c>
      <c r="BB119" s="4">
        <v>29</v>
      </c>
      <c r="BC119" s="4">
        <v>0</v>
      </c>
      <c r="BD119" s="4">
        <v>0</v>
      </c>
      <c r="BE119" s="4">
        <v>0</v>
      </c>
      <c r="BF119" s="4">
        <v>0</v>
      </c>
      <c r="BG119" s="4">
        <v>0</v>
      </c>
      <c r="BH119" s="4">
        <v>0</v>
      </c>
      <c r="BI119" s="4">
        <v>0</v>
      </c>
      <c r="BJ119" s="4">
        <v>0</v>
      </c>
      <c r="BK119" s="4">
        <v>0</v>
      </c>
      <c r="BL119" s="4">
        <v>0</v>
      </c>
      <c r="BM119" s="4">
        <v>0</v>
      </c>
      <c r="BN119" s="4">
        <v>0</v>
      </c>
      <c r="BO119" s="4">
        <v>0</v>
      </c>
      <c r="BP119" s="4">
        <v>0</v>
      </c>
      <c r="BQ119" s="4">
        <v>0</v>
      </c>
      <c r="BW119" s="32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9"/>
    </row>
    <row r="120" spans="4:138" ht="16.5" thickTop="1" thickBot="1" x14ac:dyDescent="0.55000000000000004">
      <c r="D120" s="101"/>
      <c r="E120" s="99"/>
      <c r="F120" s="4">
        <v>4</v>
      </c>
      <c r="G120" s="4">
        <v>14</v>
      </c>
      <c r="H120" s="4">
        <v>11</v>
      </c>
      <c r="I120" s="4">
        <v>15</v>
      </c>
      <c r="J120" s="4">
        <v>8</v>
      </c>
      <c r="K120" s="4">
        <v>7</v>
      </c>
      <c r="L120" s="4">
        <v>6</v>
      </c>
      <c r="M120" s="4">
        <v>16</v>
      </c>
      <c r="N120" s="4">
        <v>2</v>
      </c>
      <c r="O120" s="4">
        <v>1</v>
      </c>
      <c r="P120" s="4">
        <v>5</v>
      </c>
      <c r="Q120" s="4">
        <v>12</v>
      </c>
      <c r="R120" s="4">
        <v>13</v>
      </c>
      <c r="S120" s="4">
        <v>3</v>
      </c>
      <c r="T120" s="4">
        <v>10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">
        <v>0</v>
      </c>
      <c r="AT120" s="4">
        <v>0</v>
      </c>
      <c r="AU120" s="4">
        <v>0</v>
      </c>
      <c r="AV120" s="4">
        <v>0</v>
      </c>
      <c r="AW120" s="4">
        <v>0</v>
      </c>
      <c r="AX120" s="4">
        <v>0</v>
      </c>
      <c r="AY120" s="4">
        <v>0</v>
      </c>
      <c r="AZ120" s="4">
        <v>0</v>
      </c>
      <c r="BA120" s="4">
        <v>0</v>
      </c>
      <c r="BB120" s="4">
        <v>0</v>
      </c>
      <c r="BC120" s="4">
        <v>0</v>
      </c>
      <c r="BD120" s="4">
        <v>0</v>
      </c>
      <c r="BE120" s="4">
        <v>0</v>
      </c>
      <c r="BF120" s="4">
        <v>0</v>
      </c>
      <c r="BG120" s="4">
        <v>0</v>
      </c>
      <c r="BH120" s="4">
        <v>0</v>
      </c>
      <c r="BI120" s="4">
        <v>0</v>
      </c>
      <c r="BJ120" s="4">
        <v>0</v>
      </c>
      <c r="BK120" s="4">
        <v>0</v>
      </c>
      <c r="BL120" s="4">
        <v>0</v>
      </c>
      <c r="BM120" s="4">
        <v>0</v>
      </c>
      <c r="BN120" s="4">
        <v>0</v>
      </c>
      <c r="BO120" s="4">
        <v>0</v>
      </c>
      <c r="BP120" s="4">
        <v>0</v>
      </c>
      <c r="BQ120" s="4">
        <v>0</v>
      </c>
      <c r="BW120" s="31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7"/>
    </row>
    <row r="121" spans="4:138" ht="16.149999999999999" thickBot="1" x14ac:dyDescent="0.55000000000000004">
      <c r="D121" s="100"/>
      <c r="E121" s="98" t="s">
        <v>12</v>
      </c>
      <c r="F121" s="4">
        <v>9</v>
      </c>
      <c r="G121" s="4">
        <v>62</v>
      </c>
      <c r="H121" s="4">
        <v>46</v>
      </c>
      <c r="I121" s="4">
        <v>63</v>
      </c>
      <c r="J121" s="4">
        <v>39</v>
      </c>
      <c r="K121" s="4">
        <v>48</v>
      </c>
      <c r="L121" s="4">
        <v>35</v>
      </c>
      <c r="M121" s="4">
        <v>21</v>
      </c>
      <c r="N121" s="4">
        <v>24</v>
      </c>
      <c r="O121" s="4">
        <v>43</v>
      </c>
      <c r="P121" s="4">
        <v>25</v>
      </c>
      <c r="Q121" s="4">
        <v>60</v>
      </c>
      <c r="R121" s="4">
        <v>52</v>
      </c>
      <c r="S121" s="4">
        <v>58</v>
      </c>
      <c r="T121" s="4">
        <v>36</v>
      </c>
      <c r="U121" s="4">
        <v>42</v>
      </c>
      <c r="V121" s="4">
        <v>57</v>
      </c>
      <c r="W121" s="4">
        <v>23</v>
      </c>
      <c r="X121" s="4">
        <v>50</v>
      </c>
      <c r="Y121" s="4">
        <v>30</v>
      </c>
      <c r="Z121" s="4">
        <v>22</v>
      </c>
      <c r="AA121" s="4">
        <v>37</v>
      </c>
      <c r="AB121" s="4">
        <v>47</v>
      </c>
      <c r="AC121" s="4">
        <v>59</v>
      </c>
      <c r="AD121" s="4">
        <v>38</v>
      </c>
      <c r="AE121" s="4">
        <v>55</v>
      </c>
      <c r="AF121" s="4">
        <v>17</v>
      </c>
      <c r="AG121" s="4">
        <v>27</v>
      </c>
      <c r="AH121" s="4">
        <v>49</v>
      </c>
      <c r="AI121" s="4">
        <v>26</v>
      </c>
      <c r="AJ121" s="4">
        <v>53</v>
      </c>
      <c r="AK121" s="4">
        <v>54</v>
      </c>
      <c r="AL121" s="4">
        <v>61</v>
      </c>
      <c r="AM121" s="4">
        <v>18</v>
      </c>
      <c r="AN121" s="4">
        <v>45</v>
      </c>
      <c r="AO121" s="4">
        <v>31</v>
      </c>
      <c r="AP121" s="4">
        <v>41</v>
      </c>
      <c r="AQ121" s="4">
        <v>33</v>
      </c>
      <c r="AR121" s="4">
        <v>40</v>
      </c>
      <c r="AS121" s="4">
        <v>56</v>
      </c>
      <c r="AT121" s="4">
        <v>19</v>
      </c>
      <c r="AU121" s="4">
        <v>44</v>
      </c>
      <c r="AV121" s="4">
        <v>51</v>
      </c>
      <c r="AW121" s="4">
        <v>20</v>
      </c>
      <c r="AX121" s="4">
        <v>32</v>
      </c>
      <c r="AY121" s="4">
        <v>64</v>
      </c>
      <c r="AZ121" s="4">
        <v>34</v>
      </c>
      <c r="BA121" s="4">
        <v>29</v>
      </c>
      <c r="BB121" s="4">
        <v>28</v>
      </c>
      <c r="BC121" s="4">
        <v>0</v>
      </c>
      <c r="BD121" s="4">
        <v>0</v>
      </c>
      <c r="BE121" s="4">
        <v>0</v>
      </c>
      <c r="BF121" s="4">
        <v>0</v>
      </c>
      <c r="BG121" s="4">
        <v>0</v>
      </c>
      <c r="BH121" s="4">
        <v>0</v>
      </c>
      <c r="BI121" s="4">
        <v>0</v>
      </c>
      <c r="BJ121" s="4">
        <v>0</v>
      </c>
      <c r="BK121" s="4">
        <v>0</v>
      </c>
      <c r="BL121" s="4">
        <v>0</v>
      </c>
      <c r="BM121" s="4">
        <v>0</v>
      </c>
      <c r="BN121" s="4">
        <v>0</v>
      </c>
      <c r="BO121" s="4">
        <v>0</v>
      </c>
      <c r="BP121" s="4">
        <v>0</v>
      </c>
      <c r="BQ121" s="4">
        <v>0</v>
      </c>
      <c r="BW121" s="32"/>
      <c r="BX121" s="28"/>
      <c r="BY121" s="28"/>
      <c r="BZ121" s="28"/>
      <c r="CA121" s="28"/>
      <c r="CB121" s="28"/>
      <c r="CC121" s="28"/>
      <c r="CD121" s="28"/>
      <c r="CE121" s="28"/>
      <c r="CF121" s="28"/>
      <c r="CG121" s="28"/>
      <c r="CH121" s="28"/>
      <c r="CI121" s="28"/>
      <c r="CJ121" s="28"/>
      <c r="CK121" s="28"/>
      <c r="CL121" s="28"/>
      <c r="CM121" s="28"/>
      <c r="CN121" s="28"/>
      <c r="CO121" s="28"/>
      <c r="CP121" s="28"/>
      <c r="CQ121" s="28"/>
      <c r="CR121" s="28"/>
      <c r="CS121" s="28"/>
      <c r="CT121" s="28"/>
      <c r="CU121" s="28"/>
      <c r="CV121" s="28"/>
      <c r="CW121" s="28"/>
      <c r="CX121" s="28"/>
      <c r="CY121" s="28"/>
      <c r="CZ121" s="28"/>
      <c r="DA121" s="28"/>
      <c r="DB121" s="28"/>
      <c r="DC121" s="28"/>
      <c r="DD121" s="28"/>
      <c r="DE121" s="28"/>
      <c r="DF121" s="28"/>
      <c r="DG121" s="28"/>
      <c r="DH121" s="28"/>
      <c r="DI121" s="28"/>
      <c r="DJ121" s="28"/>
      <c r="DK121" s="28"/>
      <c r="DL121" s="28"/>
      <c r="DM121" s="28"/>
      <c r="DN121" s="28"/>
      <c r="DO121" s="28"/>
      <c r="DP121" s="28"/>
      <c r="DQ121" s="28"/>
      <c r="DR121" s="28"/>
      <c r="DS121" s="28"/>
      <c r="DT121" s="28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9"/>
    </row>
    <row r="122" spans="4:138" ht="16.5" thickTop="1" thickBot="1" x14ac:dyDescent="0.55000000000000004">
      <c r="D122" s="101"/>
      <c r="E122" s="99"/>
      <c r="F122" s="4">
        <v>4</v>
      </c>
      <c r="G122" s="4">
        <v>14</v>
      </c>
      <c r="H122" s="4">
        <v>11</v>
      </c>
      <c r="I122" s="4">
        <v>15</v>
      </c>
      <c r="J122" s="4">
        <v>8</v>
      </c>
      <c r="K122" s="4">
        <v>7</v>
      </c>
      <c r="L122" s="4">
        <v>6</v>
      </c>
      <c r="M122" s="4">
        <v>16</v>
      </c>
      <c r="N122" s="4">
        <v>2</v>
      </c>
      <c r="O122" s="4">
        <v>1</v>
      </c>
      <c r="P122" s="4">
        <v>5</v>
      </c>
      <c r="Q122" s="4">
        <v>12</v>
      </c>
      <c r="R122" s="4">
        <v>13</v>
      </c>
      <c r="S122" s="4">
        <v>3</v>
      </c>
      <c r="T122" s="4">
        <v>10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">
        <v>0</v>
      </c>
      <c r="AT122" s="4">
        <v>0</v>
      </c>
      <c r="AU122" s="4">
        <v>0</v>
      </c>
      <c r="AV122" s="4">
        <v>0</v>
      </c>
      <c r="AW122" s="4">
        <v>0</v>
      </c>
      <c r="AX122" s="4">
        <v>0</v>
      </c>
      <c r="AY122" s="4">
        <v>0</v>
      </c>
      <c r="AZ122" s="4">
        <v>0</v>
      </c>
      <c r="BA122" s="4">
        <v>0</v>
      </c>
      <c r="BB122" s="4">
        <v>0</v>
      </c>
      <c r="BC122" s="4">
        <v>0</v>
      </c>
      <c r="BD122" s="4">
        <v>0</v>
      </c>
      <c r="BE122" s="4">
        <v>0</v>
      </c>
      <c r="BF122" s="4">
        <v>0</v>
      </c>
      <c r="BG122" s="4">
        <v>0</v>
      </c>
      <c r="BH122" s="4">
        <v>0</v>
      </c>
      <c r="BI122" s="4">
        <v>0</v>
      </c>
      <c r="BJ122" s="4">
        <v>0</v>
      </c>
      <c r="BK122" s="4">
        <v>0</v>
      </c>
      <c r="BL122" s="4">
        <v>0</v>
      </c>
      <c r="BM122" s="4">
        <v>0</v>
      </c>
      <c r="BN122" s="4">
        <v>0</v>
      </c>
      <c r="BO122" s="4">
        <v>0</v>
      </c>
      <c r="BP122" s="4">
        <v>0</v>
      </c>
      <c r="BQ122" s="4">
        <v>0</v>
      </c>
      <c r="BW122" s="31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7"/>
    </row>
    <row r="123" spans="4:138" ht="16.149999999999999" thickBot="1" x14ac:dyDescent="0.55000000000000004">
      <c r="D123" s="100"/>
      <c r="E123" s="98" t="s">
        <v>13</v>
      </c>
      <c r="F123" s="4">
        <v>62</v>
      </c>
      <c r="G123" s="4">
        <v>46</v>
      </c>
      <c r="H123" s="4">
        <v>63</v>
      </c>
      <c r="I123" s="4">
        <v>39</v>
      </c>
      <c r="J123" s="4">
        <v>48</v>
      </c>
      <c r="K123" s="4">
        <v>35</v>
      </c>
      <c r="L123" s="4">
        <v>21</v>
      </c>
      <c r="M123" s="4">
        <v>24</v>
      </c>
      <c r="N123" s="4">
        <v>43</v>
      </c>
      <c r="O123" s="4">
        <v>25</v>
      </c>
      <c r="P123" s="4">
        <v>60</v>
      </c>
      <c r="Q123" s="4">
        <v>52</v>
      </c>
      <c r="R123" s="4">
        <v>58</v>
      </c>
      <c r="S123" s="4">
        <v>36</v>
      </c>
      <c r="T123" s="4">
        <v>42</v>
      </c>
      <c r="U123" s="4">
        <v>57</v>
      </c>
      <c r="V123" s="4">
        <v>23</v>
      </c>
      <c r="W123" s="4">
        <v>50</v>
      </c>
      <c r="X123" s="4">
        <v>30</v>
      </c>
      <c r="Y123" s="4">
        <v>22</v>
      </c>
      <c r="Z123" s="4">
        <v>37</v>
      </c>
      <c r="AA123" s="4">
        <v>47</v>
      </c>
      <c r="AB123" s="4">
        <v>59</v>
      </c>
      <c r="AC123" s="4">
        <v>38</v>
      </c>
      <c r="AD123" s="4">
        <v>55</v>
      </c>
      <c r="AE123" s="4">
        <v>17</v>
      </c>
      <c r="AF123" s="4">
        <v>27</v>
      </c>
      <c r="AG123" s="4">
        <v>49</v>
      </c>
      <c r="AH123" s="4">
        <v>26</v>
      </c>
      <c r="AI123" s="4">
        <v>53</v>
      </c>
      <c r="AJ123" s="4">
        <v>54</v>
      </c>
      <c r="AK123" s="4">
        <v>61</v>
      </c>
      <c r="AL123" s="4">
        <v>18</v>
      </c>
      <c r="AM123" s="4">
        <v>45</v>
      </c>
      <c r="AN123" s="4">
        <v>31</v>
      </c>
      <c r="AO123" s="4">
        <v>41</v>
      </c>
      <c r="AP123" s="4">
        <v>33</v>
      </c>
      <c r="AQ123" s="4">
        <v>40</v>
      </c>
      <c r="AR123" s="4">
        <v>56</v>
      </c>
      <c r="AS123" s="4">
        <v>19</v>
      </c>
      <c r="AT123" s="4">
        <v>44</v>
      </c>
      <c r="AU123" s="4">
        <v>51</v>
      </c>
      <c r="AV123" s="4">
        <v>20</v>
      </c>
      <c r="AW123" s="4">
        <v>32</v>
      </c>
      <c r="AX123" s="4">
        <v>64</v>
      </c>
      <c r="AY123" s="4">
        <v>34</v>
      </c>
      <c r="AZ123" s="4">
        <v>29</v>
      </c>
      <c r="BA123" s="4">
        <v>28</v>
      </c>
      <c r="BB123" s="4">
        <v>0</v>
      </c>
      <c r="BC123" s="4">
        <v>0</v>
      </c>
      <c r="BD123" s="4">
        <v>0</v>
      </c>
      <c r="BE123" s="4">
        <v>0</v>
      </c>
      <c r="BF123" s="4">
        <v>0</v>
      </c>
      <c r="BG123" s="4">
        <v>0</v>
      </c>
      <c r="BH123" s="4">
        <v>0</v>
      </c>
      <c r="BI123" s="4">
        <v>0</v>
      </c>
      <c r="BJ123" s="4">
        <v>0</v>
      </c>
      <c r="BK123" s="4">
        <v>0</v>
      </c>
      <c r="BL123" s="4">
        <v>0</v>
      </c>
      <c r="BM123" s="4">
        <v>0</v>
      </c>
      <c r="BN123" s="4">
        <v>0</v>
      </c>
      <c r="BO123" s="4">
        <v>0</v>
      </c>
      <c r="BP123" s="4">
        <v>0</v>
      </c>
      <c r="BQ123" s="4">
        <v>0</v>
      </c>
      <c r="BW123" s="32"/>
      <c r="BX123" s="28"/>
      <c r="BY123" s="28"/>
      <c r="BZ123" s="28"/>
      <c r="CA123" s="28"/>
      <c r="CB123" s="28"/>
      <c r="CC123" s="28"/>
      <c r="CD123" s="28"/>
      <c r="CE123" s="28"/>
      <c r="CF123" s="28"/>
      <c r="CG123" s="28"/>
      <c r="CH123" s="28"/>
      <c r="CI123" s="28"/>
      <c r="CJ123" s="28"/>
      <c r="CK123" s="28"/>
      <c r="CL123" s="28"/>
      <c r="CM123" s="28"/>
      <c r="CN123" s="28"/>
      <c r="CO123" s="28"/>
      <c r="CP123" s="28"/>
      <c r="CQ123" s="28"/>
      <c r="CR123" s="28"/>
      <c r="CS123" s="28"/>
      <c r="CT123" s="28"/>
      <c r="CU123" s="28"/>
      <c r="CV123" s="28"/>
      <c r="CW123" s="28"/>
      <c r="CX123" s="28"/>
      <c r="CY123" s="28"/>
      <c r="CZ123" s="28"/>
      <c r="DA123" s="28"/>
      <c r="DB123" s="28"/>
      <c r="DC123" s="28"/>
      <c r="DD123" s="28"/>
      <c r="DE123" s="28"/>
      <c r="DF123" s="28"/>
      <c r="DG123" s="28"/>
      <c r="DH123" s="28"/>
      <c r="DI123" s="28"/>
      <c r="DJ123" s="28"/>
      <c r="DK123" s="28"/>
      <c r="DL123" s="28"/>
      <c r="DM123" s="28"/>
      <c r="DN123" s="28"/>
      <c r="DO123" s="28"/>
      <c r="DP123" s="28"/>
      <c r="DQ123" s="28"/>
      <c r="DR123" s="28"/>
      <c r="DS123" s="28"/>
      <c r="DT123" s="28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9"/>
    </row>
    <row r="124" spans="4:138" ht="16.5" thickTop="1" thickBot="1" x14ac:dyDescent="0.55000000000000004">
      <c r="D124" s="101"/>
      <c r="E124" s="99"/>
      <c r="F124" s="4">
        <v>9</v>
      </c>
      <c r="G124" s="4">
        <v>4</v>
      </c>
      <c r="H124" s="4">
        <v>14</v>
      </c>
      <c r="I124" s="4">
        <v>11</v>
      </c>
      <c r="J124" s="4">
        <v>15</v>
      </c>
      <c r="K124" s="4">
        <v>8</v>
      </c>
      <c r="L124" s="4">
        <v>7</v>
      </c>
      <c r="M124" s="4">
        <v>6</v>
      </c>
      <c r="N124" s="4">
        <v>16</v>
      </c>
      <c r="O124" s="4">
        <v>2</v>
      </c>
      <c r="P124" s="4">
        <v>1</v>
      </c>
      <c r="Q124" s="4">
        <v>5</v>
      </c>
      <c r="R124" s="4">
        <v>12</v>
      </c>
      <c r="S124" s="4">
        <v>13</v>
      </c>
      <c r="T124" s="4">
        <v>3</v>
      </c>
      <c r="U124" s="4">
        <v>10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">
        <v>0</v>
      </c>
      <c r="AT124" s="4">
        <v>0</v>
      </c>
      <c r="AU124" s="4">
        <v>0</v>
      </c>
      <c r="AV124" s="4">
        <v>0</v>
      </c>
      <c r="AW124" s="4">
        <v>0</v>
      </c>
      <c r="AX124" s="4">
        <v>0</v>
      </c>
      <c r="AY124" s="4">
        <v>0</v>
      </c>
      <c r="AZ124" s="4">
        <v>0</v>
      </c>
      <c r="BA124" s="4">
        <v>0</v>
      </c>
      <c r="BB124" s="4">
        <v>0</v>
      </c>
      <c r="BC124" s="4">
        <v>0</v>
      </c>
      <c r="BD124" s="4">
        <v>0</v>
      </c>
      <c r="BE124" s="4">
        <v>0</v>
      </c>
      <c r="BF124" s="4">
        <v>0</v>
      </c>
      <c r="BG124" s="4">
        <v>0</v>
      </c>
      <c r="BH124" s="4">
        <v>0</v>
      </c>
      <c r="BI124" s="4">
        <v>0</v>
      </c>
      <c r="BJ124" s="4">
        <v>0</v>
      </c>
      <c r="BK124" s="4">
        <v>0</v>
      </c>
      <c r="BL124" s="4">
        <v>0</v>
      </c>
      <c r="BM124" s="4">
        <v>0</v>
      </c>
      <c r="BN124" s="4">
        <v>0</v>
      </c>
      <c r="BO124" s="4">
        <v>0</v>
      </c>
      <c r="BP124" s="4">
        <v>0</v>
      </c>
      <c r="BQ124" s="4">
        <v>0</v>
      </c>
      <c r="BW124" s="31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7"/>
    </row>
  </sheetData>
  <mergeCells count="118">
    <mergeCell ref="D121:D122"/>
    <mergeCell ref="E121:E122"/>
    <mergeCell ref="D123:D124"/>
    <mergeCell ref="E123:E124"/>
    <mergeCell ref="D115:D116"/>
    <mergeCell ref="E115:E116"/>
    <mergeCell ref="D117:D118"/>
    <mergeCell ref="E117:E118"/>
    <mergeCell ref="D119:D120"/>
    <mergeCell ref="E119:E120"/>
    <mergeCell ref="D109:D110"/>
    <mergeCell ref="E109:E110"/>
    <mergeCell ref="D111:D112"/>
    <mergeCell ref="E111:E112"/>
    <mergeCell ref="D113:D114"/>
    <mergeCell ref="E113:E114"/>
    <mergeCell ref="D103:D104"/>
    <mergeCell ref="E103:E104"/>
    <mergeCell ref="D105:D106"/>
    <mergeCell ref="E105:E106"/>
    <mergeCell ref="D107:D108"/>
    <mergeCell ref="E107:E108"/>
    <mergeCell ref="D97:D98"/>
    <mergeCell ref="E97:E98"/>
    <mergeCell ref="D99:D100"/>
    <mergeCell ref="E99:E100"/>
    <mergeCell ref="D101:D102"/>
    <mergeCell ref="E101:E102"/>
    <mergeCell ref="D91:D92"/>
    <mergeCell ref="E91:E92"/>
    <mergeCell ref="D93:D94"/>
    <mergeCell ref="E93:E94"/>
    <mergeCell ref="D95:D96"/>
    <mergeCell ref="E95:E96"/>
    <mergeCell ref="D85:D86"/>
    <mergeCell ref="E85:E86"/>
    <mergeCell ref="D87:D88"/>
    <mergeCell ref="E87:E88"/>
    <mergeCell ref="D89:D90"/>
    <mergeCell ref="E89:E90"/>
    <mergeCell ref="D79:D80"/>
    <mergeCell ref="E79:E80"/>
    <mergeCell ref="D81:D82"/>
    <mergeCell ref="E81:E82"/>
    <mergeCell ref="D83:D84"/>
    <mergeCell ref="E83:E84"/>
    <mergeCell ref="D73:D74"/>
    <mergeCell ref="E73:E74"/>
    <mergeCell ref="D75:D76"/>
    <mergeCell ref="E75:E76"/>
    <mergeCell ref="D77:D78"/>
    <mergeCell ref="E77:E78"/>
    <mergeCell ref="D67:D68"/>
    <mergeCell ref="E67:E68"/>
    <mergeCell ref="D69:D70"/>
    <mergeCell ref="E69:E70"/>
    <mergeCell ref="D71:D72"/>
    <mergeCell ref="E71:E72"/>
    <mergeCell ref="D61:D62"/>
    <mergeCell ref="E61:E62"/>
    <mergeCell ref="D63:D64"/>
    <mergeCell ref="E63:E64"/>
    <mergeCell ref="D65:D66"/>
    <mergeCell ref="E65:E66"/>
    <mergeCell ref="D55:D56"/>
    <mergeCell ref="E55:E56"/>
    <mergeCell ref="D57:D58"/>
    <mergeCell ref="E57:E58"/>
    <mergeCell ref="D59:D60"/>
    <mergeCell ref="E59:E60"/>
    <mergeCell ref="D49:D50"/>
    <mergeCell ref="E49:E50"/>
    <mergeCell ref="D51:D52"/>
    <mergeCell ref="E51:E52"/>
    <mergeCell ref="D53:D54"/>
    <mergeCell ref="E53:E54"/>
    <mergeCell ref="D43:D44"/>
    <mergeCell ref="E43:E44"/>
    <mergeCell ref="D45:D46"/>
    <mergeCell ref="E45:E46"/>
    <mergeCell ref="D47:D48"/>
    <mergeCell ref="E47:E48"/>
    <mergeCell ref="D37:D38"/>
    <mergeCell ref="E37:E38"/>
    <mergeCell ref="D39:D40"/>
    <mergeCell ref="E39:E40"/>
    <mergeCell ref="D41:D42"/>
    <mergeCell ref="E41:E42"/>
    <mergeCell ref="D31:D32"/>
    <mergeCell ref="E31:E32"/>
    <mergeCell ref="D33:D34"/>
    <mergeCell ref="E33:E34"/>
    <mergeCell ref="D35:D36"/>
    <mergeCell ref="E35:E36"/>
    <mergeCell ref="D25:D26"/>
    <mergeCell ref="E25:E26"/>
    <mergeCell ref="D27:D28"/>
    <mergeCell ref="E27:E28"/>
    <mergeCell ref="D29:D30"/>
    <mergeCell ref="E29:E30"/>
    <mergeCell ref="D19:D20"/>
    <mergeCell ref="E19:E20"/>
    <mergeCell ref="D21:D22"/>
    <mergeCell ref="E21:E22"/>
    <mergeCell ref="D23:D24"/>
    <mergeCell ref="E23:E24"/>
    <mergeCell ref="D13:D14"/>
    <mergeCell ref="E13:E14"/>
    <mergeCell ref="D15:D16"/>
    <mergeCell ref="E15:E16"/>
    <mergeCell ref="D17:D18"/>
    <mergeCell ref="E17:E18"/>
    <mergeCell ref="D7:D8"/>
    <mergeCell ref="E7:E8"/>
    <mergeCell ref="D9:D10"/>
    <mergeCell ref="E9:E10"/>
    <mergeCell ref="D11:D12"/>
    <mergeCell ref="E11:E12"/>
  </mergeCells>
  <conditionalFormatting sqref="F7:Y35 F37:Y46 K36:Y36 F49:Y112 H47:Y47 I48:Y48 F114:Y124 K113:Y113 BU19:BU20 BU11:BU13 BU16:BU17 BU25:BU27 BT31:BT33 Z31:BS124 Z15:BS22 Z23:BR30 Z7:BT14 F4:BS5">
    <cfRule type="expression" dxfId="72" priority="75" stopIfTrue="1">
      <formula>F4=0</formula>
    </cfRule>
  </conditionalFormatting>
  <conditionalFormatting sqref="F36:J36">
    <cfRule type="expression" dxfId="71" priority="74" stopIfTrue="1">
      <formula>F36=0</formula>
    </cfRule>
  </conditionalFormatting>
  <conditionalFormatting sqref="F36:J36">
    <cfRule type="expression" dxfId="70" priority="73" stopIfTrue="1">
      <formula>F36=0</formula>
    </cfRule>
  </conditionalFormatting>
  <conditionalFormatting sqref="F47:G47">
    <cfRule type="expression" dxfId="69" priority="72" stopIfTrue="1">
      <formula>F47=0</formula>
    </cfRule>
  </conditionalFormatting>
  <conditionalFormatting sqref="F47:G47">
    <cfRule type="expression" dxfId="68" priority="71" stopIfTrue="1">
      <formula>F47=0</formula>
    </cfRule>
  </conditionalFormatting>
  <conditionalFormatting sqref="F48:H48">
    <cfRule type="expression" dxfId="67" priority="70" stopIfTrue="1">
      <formula>F48=0</formula>
    </cfRule>
  </conditionalFormatting>
  <conditionalFormatting sqref="F48:H48">
    <cfRule type="expression" dxfId="66" priority="69" stopIfTrue="1">
      <formula>F48=0</formula>
    </cfRule>
  </conditionalFormatting>
  <conditionalFormatting sqref="F113:J113">
    <cfRule type="expression" dxfId="65" priority="68" stopIfTrue="1">
      <formula>F113=0</formula>
    </cfRule>
  </conditionalFormatting>
  <conditionalFormatting sqref="F113:J113">
    <cfRule type="expression" dxfId="64" priority="67" stopIfTrue="1">
      <formula>F113=0</formula>
    </cfRule>
  </conditionalFormatting>
  <conditionalFormatting sqref="BW4:EH5">
    <cfRule type="expression" dxfId="63" priority="64" stopIfTrue="1">
      <formula>BW4=0</formula>
    </cfRule>
  </conditionalFormatting>
  <conditionalFormatting sqref="BW7:DR7 CB6:DR6">
    <cfRule type="expression" dxfId="62" priority="63" stopIfTrue="1">
      <formula>BW6=0</formula>
    </cfRule>
  </conditionalFormatting>
  <conditionalFormatting sqref="BW6:CA6">
    <cfRule type="expression" dxfId="61" priority="62" stopIfTrue="1">
      <formula>BW6=0</formula>
    </cfRule>
  </conditionalFormatting>
  <conditionalFormatting sqref="BW6:CA6">
    <cfRule type="expression" dxfId="60" priority="61" stopIfTrue="1">
      <formula>BW6=0</formula>
    </cfRule>
  </conditionalFormatting>
  <conditionalFormatting sqref="BW9:DZ9 CB8:DZ8">
    <cfRule type="expression" dxfId="59" priority="60" stopIfTrue="1">
      <formula>BW8=0</formula>
    </cfRule>
  </conditionalFormatting>
  <conditionalFormatting sqref="BW8:CA8">
    <cfRule type="expression" dxfId="58" priority="59" stopIfTrue="1">
      <formula>BW8=0</formula>
    </cfRule>
  </conditionalFormatting>
  <conditionalFormatting sqref="BW8:CA8">
    <cfRule type="expression" dxfId="57" priority="58" stopIfTrue="1">
      <formula>BW8=0</formula>
    </cfRule>
  </conditionalFormatting>
  <conditionalFormatting sqref="BW11:DR11 CB10:DR10">
    <cfRule type="expression" dxfId="56" priority="57" stopIfTrue="1">
      <formula>BW10=0</formula>
    </cfRule>
  </conditionalFormatting>
  <conditionalFormatting sqref="BW10:CA10">
    <cfRule type="expression" dxfId="55" priority="56" stopIfTrue="1">
      <formula>BW10=0</formula>
    </cfRule>
  </conditionalFormatting>
  <conditionalFormatting sqref="BW10:CA10">
    <cfRule type="expression" dxfId="54" priority="55" stopIfTrue="1">
      <formula>BW10=0</formula>
    </cfRule>
  </conditionalFormatting>
  <conditionalFormatting sqref="BW13:DZ13 CB12:DZ12">
    <cfRule type="expression" dxfId="53" priority="54" stopIfTrue="1">
      <formula>BW12=0</formula>
    </cfRule>
  </conditionalFormatting>
  <conditionalFormatting sqref="BW12:CA12">
    <cfRule type="expression" dxfId="52" priority="53" stopIfTrue="1">
      <formula>BW12=0</formula>
    </cfRule>
  </conditionalFormatting>
  <conditionalFormatting sqref="BW12:CA12">
    <cfRule type="expression" dxfId="51" priority="52" stopIfTrue="1">
      <formula>BW12=0</formula>
    </cfRule>
  </conditionalFormatting>
  <conditionalFormatting sqref="BW15:EH15 CB14:EH14">
    <cfRule type="expression" dxfId="50" priority="51" stopIfTrue="1">
      <formula>BW14=0</formula>
    </cfRule>
  </conditionalFormatting>
  <conditionalFormatting sqref="BW14:CA14">
    <cfRule type="expression" dxfId="49" priority="50" stopIfTrue="1">
      <formula>BW14=0</formula>
    </cfRule>
  </conditionalFormatting>
  <conditionalFormatting sqref="BW14:CA14">
    <cfRule type="expression" dxfId="48" priority="49" stopIfTrue="1">
      <formula>BW14=0</formula>
    </cfRule>
  </conditionalFormatting>
  <conditionalFormatting sqref="BW17:DR17 CB16:DR16">
    <cfRule type="expression" dxfId="47" priority="48" stopIfTrue="1">
      <formula>BW16=0</formula>
    </cfRule>
  </conditionalFormatting>
  <conditionalFormatting sqref="BW16:CA16">
    <cfRule type="expression" dxfId="46" priority="47" stopIfTrue="1">
      <formula>BW16=0</formula>
    </cfRule>
  </conditionalFormatting>
  <conditionalFormatting sqref="BW16:CA16">
    <cfRule type="expression" dxfId="45" priority="46" stopIfTrue="1">
      <formula>BW16=0</formula>
    </cfRule>
  </conditionalFormatting>
  <conditionalFormatting sqref="BW19:DB19 CB18:DB18">
    <cfRule type="expression" dxfId="44" priority="45" stopIfTrue="1">
      <formula>BW18=0</formula>
    </cfRule>
  </conditionalFormatting>
  <conditionalFormatting sqref="BW18:CA18">
    <cfRule type="expression" dxfId="43" priority="44" stopIfTrue="1">
      <formula>BW18=0</formula>
    </cfRule>
  </conditionalFormatting>
  <conditionalFormatting sqref="BW18:CA18">
    <cfRule type="expression" dxfId="42" priority="43" stopIfTrue="1">
      <formula>BW18=0</formula>
    </cfRule>
  </conditionalFormatting>
  <conditionalFormatting sqref="BW21:DJ21 CB20:DJ20">
    <cfRule type="expression" dxfId="41" priority="42" stopIfTrue="1">
      <formula>BW20=0</formula>
    </cfRule>
  </conditionalFormatting>
  <conditionalFormatting sqref="BW20:CA20">
    <cfRule type="expression" dxfId="40" priority="41" stopIfTrue="1">
      <formula>BW20=0</formula>
    </cfRule>
  </conditionalFormatting>
  <conditionalFormatting sqref="BW20:CA20">
    <cfRule type="expression" dxfId="39" priority="40" stopIfTrue="1">
      <formula>BW20=0</formula>
    </cfRule>
  </conditionalFormatting>
  <conditionalFormatting sqref="BW23:DJ23 CB22:DJ22">
    <cfRule type="expression" dxfId="38" priority="39" stopIfTrue="1">
      <formula>BW22=0</formula>
    </cfRule>
  </conditionalFormatting>
  <conditionalFormatting sqref="BW22:CA22">
    <cfRule type="expression" dxfId="37" priority="38" stopIfTrue="1">
      <formula>BW22=0</formula>
    </cfRule>
  </conditionalFormatting>
  <conditionalFormatting sqref="BW22:CA22">
    <cfRule type="expression" dxfId="36" priority="37" stopIfTrue="1">
      <formula>BW22=0</formula>
    </cfRule>
  </conditionalFormatting>
  <conditionalFormatting sqref="BW25:DB25 CB24:DB24">
    <cfRule type="expression" dxfId="35" priority="36" stopIfTrue="1">
      <formula>BW24=0</formula>
    </cfRule>
  </conditionalFormatting>
  <conditionalFormatting sqref="BW24:CA24">
    <cfRule type="expression" dxfId="34" priority="35" stopIfTrue="1">
      <formula>BW24=0</formula>
    </cfRule>
  </conditionalFormatting>
  <conditionalFormatting sqref="BW24:CA24">
    <cfRule type="expression" dxfId="33" priority="34" stopIfTrue="1">
      <formula>BW24=0</formula>
    </cfRule>
  </conditionalFormatting>
  <conditionalFormatting sqref="BW27:DJ27 CB26:DJ26">
    <cfRule type="expression" dxfId="32" priority="33" stopIfTrue="1">
      <formula>BW26=0</formula>
    </cfRule>
  </conditionalFormatting>
  <conditionalFormatting sqref="BW26:CA26">
    <cfRule type="expression" dxfId="31" priority="32" stopIfTrue="1">
      <formula>BW26=0</formula>
    </cfRule>
  </conditionalFormatting>
  <conditionalFormatting sqref="BW26:CA26">
    <cfRule type="expression" dxfId="30" priority="31" stopIfTrue="1">
      <formula>BW26=0</formula>
    </cfRule>
  </conditionalFormatting>
  <conditionalFormatting sqref="BW29:DR29 CB28:DR28">
    <cfRule type="expression" dxfId="29" priority="30" stopIfTrue="1">
      <formula>BW28=0</formula>
    </cfRule>
  </conditionalFormatting>
  <conditionalFormatting sqref="BW28:CA28">
    <cfRule type="expression" dxfId="28" priority="29" stopIfTrue="1">
      <formula>BW28=0</formula>
    </cfRule>
  </conditionalFormatting>
  <conditionalFormatting sqref="BW28:CA28">
    <cfRule type="expression" dxfId="27" priority="28" stopIfTrue="1">
      <formula>BW28=0</formula>
    </cfRule>
  </conditionalFormatting>
  <conditionalFormatting sqref="BW31:DB31 CB30:DB30">
    <cfRule type="expression" dxfId="26" priority="27" stopIfTrue="1">
      <formula>BW30=0</formula>
    </cfRule>
  </conditionalFormatting>
  <conditionalFormatting sqref="BW30:CA30">
    <cfRule type="expression" dxfId="25" priority="26" stopIfTrue="1">
      <formula>BW30=0</formula>
    </cfRule>
  </conditionalFormatting>
  <conditionalFormatting sqref="BW30:CA30">
    <cfRule type="expression" dxfId="24" priority="25" stopIfTrue="1">
      <formula>BW30=0</formula>
    </cfRule>
  </conditionalFormatting>
  <conditionalFormatting sqref="BW33:DR33 CB32:DR32">
    <cfRule type="expression" dxfId="23" priority="24" stopIfTrue="1">
      <formula>BW32=0</formula>
    </cfRule>
  </conditionalFormatting>
  <conditionalFormatting sqref="BW32:CA32">
    <cfRule type="expression" dxfId="22" priority="23" stopIfTrue="1">
      <formula>BW32=0</formula>
    </cfRule>
  </conditionalFormatting>
  <conditionalFormatting sqref="BW32:CA32">
    <cfRule type="expression" dxfId="21" priority="22" stopIfTrue="1">
      <formula>BW32=0</formula>
    </cfRule>
  </conditionalFormatting>
  <conditionalFormatting sqref="BW35:DJ35 CB34:DJ34">
    <cfRule type="expression" dxfId="20" priority="21" stopIfTrue="1">
      <formula>BW34=0</formula>
    </cfRule>
  </conditionalFormatting>
  <conditionalFormatting sqref="BW34:CA34">
    <cfRule type="expression" dxfId="19" priority="20" stopIfTrue="1">
      <formula>BW34=0</formula>
    </cfRule>
  </conditionalFormatting>
  <conditionalFormatting sqref="BW34:CA34">
    <cfRule type="expression" dxfId="18" priority="19" stopIfTrue="1">
      <formula>BW34=0</formula>
    </cfRule>
  </conditionalFormatting>
  <conditionalFormatting sqref="BW37:DJ37 CB36:DJ36">
    <cfRule type="expression" dxfId="17" priority="18" stopIfTrue="1">
      <formula>BW36=0</formula>
    </cfRule>
  </conditionalFormatting>
  <conditionalFormatting sqref="BW36:CA36">
    <cfRule type="expression" dxfId="16" priority="17" stopIfTrue="1">
      <formula>BW36=0</formula>
    </cfRule>
  </conditionalFormatting>
  <conditionalFormatting sqref="BW36:CA36">
    <cfRule type="expression" dxfId="15" priority="16" stopIfTrue="1">
      <formula>BW36=0</formula>
    </cfRule>
  </conditionalFormatting>
  <conditionalFormatting sqref="BW39:DR39 CB38:DR38">
    <cfRule type="expression" dxfId="14" priority="15" stopIfTrue="1">
      <formula>BW38=0</formula>
    </cfRule>
  </conditionalFormatting>
  <conditionalFormatting sqref="BW38:CA38">
    <cfRule type="expression" dxfId="13" priority="14" stopIfTrue="1">
      <formula>BW38=0</formula>
    </cfRule>
  </conditionalFormatting>
  <conditionalFormatting sqref="BW38:CA38">
    <cfRule type="expression" dxfId="12" priority="13" stopIfTrue="1">
      <formula>BW38=0</formula>
    </cfRule>
  </conditionalFormatting>
  <conditionalFormatting sqref="BW41:DJ41 CB40:DJ40">
    <cfRule type="expression" dxfId="11" priority="12" stopIfTrue="1">
      <formula>BW40=0</formula>
    </cfRule>
  </conditionalFormatting>
  <conditionalFormatting sqref="BW40:CA40">
    <cfRule type="expression" dxfId="10" priority="11" stopIfTrue="1">
      <formula>BW40=0</formula>
    </cfRule>
  </conditionalFormatting>
  <conditionalFormatting sqref="BW40:CA40">
    <cfRule type="expression" dxfId="9" priority="10" stopIfTrue="1">
      <formula>BW40=0</formula>
    </cfRule>
  </conditionalFormatting>
  <conditionalFormatting sqref="BW43:DB43 CB42:DB42">
    <cfRule type="expression" dxfId="8" priority="9" stopIfTrue="1">
      <formula>BW42=0</formula>
    </cfRule>
  </conditionalFormatting>
  <conditionalFormatting sqref="BW42:CA42">
    <cfRule type="expression" dxfId="7" priority="8" stopIfTrue="1">
      <formula>BW42=0</formula>
    </cfRule>
  </conditionalFormatting>
  <conditionalFormatting sqref="BW42:CA42">
    <cfRule type="expression" dxfId="6" priority="7" stopIfTrue="1">
      <formula>BW42=0</formula>
    </cfRule>
  </conditionalFormatting>
  <conditionalFormatting sqref="BW45:DR45 CB44:DR44">
    <cfRule type="expression" dxfId="5" priority="6" stopIfTrue="1">
      <formula>BW44=0</formula>
    </cfRule>
  </conditionalFormatting>
  <conditionalFormatting sqref="BW44:CA44">
    <cfRule type="expression" dxfId="4" priority="5" stopIfTrue="1">
      <formula>BW44=0</formula>
    </cfRule>
  </conditionalFormatting>
  <conditionalFormatting sqref="BW44:CA44">
    <cfRule type="expression" dxfId="3" priority="4" stopIfTrue="1">
      <formula>BW44=0</formula>
    </cfRule>
  </conditionalFormatting>
  <conditionalFormatting sqref="BW47:EH47 CB46:EH46">
    <cfRule type="expression" dxfId="2" priority="3" stopIfTrue="1">
      <formula>BW46=0</formula>
    </cfRule>
  </conditionalFormatting>
  <conditionalFormatting sqref="BW46:CA46">
    <cfRule type="expression" dxfId="1" priority="2" stopIfTrue="1">
      <formula>BW46=0</formula>
    </cfRule>
  </conditionalFormatting>
  <conditionalFormatting sqref="BW46:CA46">
    <cfRule type="expression" dxfId="0" priority="1" stopIfTrue="1">
      <formula>BW46=0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32D44-C84F-4ECD-80B1-7E99499C93C1}">
  <sheetPr codeName="Hoja3"/>
  <dimension ref="B1:CW129"/>
  <sheetViews>
    <sheetView workbookViewId="0">
      <selection activeCell="C14" sqref="C14"/>
    </sheetView>
  </sheetViews>
  <sheetFormatPr baseColWidth="10" defaultRowHeight="15.75" x14ac:dyDescent="0.5"/>
  <sheetData>
    <row r="1" spans="2:85" x14ac:dyDescent="0.5">
      <c r="C1" s="93" t="s">
        <v>70</v>
      </c>
    </row>
    <row r="2" spans="2:85" x14ac:dyDescent="0.5">
      <c r="C2" s="93" t="s">
        <v>65</v>
      </c>
    </row>
    <row r="3" spans="2:85" x14ac:dyDescent="0.5">
      <c r="B3" s="93"/>
      <c r="C3" s="93" t="s">
        <v>64</v>
      </c>
    </row>
    <row r="4" spans="2:85" x14ac:dyDescent="0.5">
      <c r="B4" s="93"/>
      <c r="C4" s="93" t="s">
        <v>66</v>
      </c>
    </row>
    <row r="5" spans="2:85" x14ac:dyDescent="0.5">
      <c r="B5" s="93"/>
      <c r="C5" s="93" t="s">
        <v>67</v>
      </c>
    </row>
    <row r="6" spans="2:85" x14ac:dyDescent="0.5">
      <c r="B6" s="93"/>
      <c r="C6" s="93" t="s">
        <v>68</v>
      </c>
    </row>
    <row r="7" spans="2:85" x14ac:dyDescent="0.5">
      <c r="B7" s="93"/>
      <c r="C7" s="93" t="s">
        <v>69</v>
      </c>
    </row>
    <row r="8" spans="2:85" x14ac:dyDescent="0.5">
      <c r="B8" s="93"/>
      <c r="C8" s="93"/>
    </row>
    <row r="9" spans="2:85" x14ac:dyDescent="0.5">
      <c r="B9" s="93"/>
      <c r="C9" s="93"/>
    </row>
    <row r="10" spans="2:85" x14ac:dyDescent="0.5">
      <c r="B10" s="93"/>
      <c r="C10" s="93">
        <v>14</v>
      </c>
      <c r="D10">
        <v>87</v>
      </c>
      <c r="E10">
        <v>39</v>
      </c>
      <c r="F10">
        <v>19</v>
      </c>
      <c r="G10">
        <v>72</v>
      </c>
      <c r="H10">
        <v>4</v>
      </c>
      <c r="I10">
        <v>62</v>
      </c>
      <c r="J10">
        <v>41</v>
      </c>
      <c r="K10">
        <v>35</v>
      </c>
      <c r="L10">
        <v>90</v>
      </c>
      <c r="M10">
        <v>15</v>
      </c>
      <c r="N10">
        <v>40</v>
      </c>
      <c r="O10">
        <v>85</v>
      </c>
      <c r="P10">
        <v>63</v>
      </c>
      <c r="Q10">
        <v>50</v>
      </c>
      <c r="R10">
        <v>45</v>
      </c>
      <c r="S10">
        <v>8</v>
      </c>
      <c r="T10">
        <v>76</v>
      </c>
      <c r="U10">
        <v>33</v>
      </c>
      <c r="V10">
        <v>20</v>
      </c>
      <c r="W10">
        <v>94</v>
      </c>
      <c r="X10">
        <v>91</v>
      </c>
      <c r="Y10">
        <v>29</v>
      </c>
      <c r="Z10">
        <v>95</v>
      </c>
      <c r="AA10">
        <v>77</v>
      </c>
      <c r="AB10">
        <v>82</v>
      </c>
      <c r="AC10">
        <v>98</v>
      </c>
      <c r="AD10">
        <v>86</v>
      </c>
      <c r="AE10">
        <v>69</v>
      </c>
      <c r="AF10">
        <v>60</v>
      </c>
      <c r="AG10">
        <v>58</v>
      </c>
      <c r="AH10">
        <v>79</v>
      </c>
      <c r="AI10">
        <v>24</v>
      </c>
      <c r="AJ10">
        <v>12</v>
      </c>
      <c r="AK10">
        <v>28</v>
      </c>
      <c r="AL10">
        <v>93</v>
      </c>
      <c r="AM10">
        <v>73</v>
      </c>
      <c r="AN10">
        <v>54</v>
      </c>
      <c r="AO10">
        <v>84</v>
      </c>
      <c r="AP10">
        <v>44</v>
      </c>
      <c r="AQ10">
        <v>10</v>
      </c>
      <c r="AR10">
        <v>75</v>
      </c>
      <c r="AS10">
        <v>3</v>
      </c>
      <c r="AT10">
        <v>32</v>
      </c>
      <c r="AU10">
        <v>89</v>
      </c>
      <c r="AV10">
        <v>52</v>
      </c>
      <c r="AW10">
        <v>51</v>
      </c>
      <c r="AX10">
        <v>16</v>
      </c>
      <c r="AY10">
        <v>70</v>
      </c>
      <c r="AZ10">
        <v>22</v>
      </c>
      <c r="BA10">
        <v>11</v>
      </c>
      <c r="BB10">
        <v>100</v>
      </c>
      <c r="BC10">
        <v>96</v>
      </c>
      <c r="BD10">
        <v>21</v>
      </c>
      <c r="BE10">
        <v>26</v>
      </c>
      <c r="BF10">
        <v>38</v>
      </c>
      <c r="BG10">
        <v>1</v>
      </c>
      <c r="BH10">
        <v>46</v>
      </c>
      <c r="BI10">
        <v>92</v>
      </c>
      <c r="BJ10">
        <v>36</v>
      </c>
      <c r="BK10">
        <v>88</v>
      </c>
      <c r="BL10">
        <v>31</v>
      </c>
      <c r="BM10">
        <v>66</v>
      </c>
      <c r="BN10">
        <v>34</v>
      </c>
      <c r="BO10">
        <v>23</v>
      </c>
      <c r="BP10">
        <v>5</v>
      </c>
      <c r="BQ10">
        <v>9</v>
      </c>
      <c r="BR10">
        <v>43</v>
      </c>
      <c r="BS10">
        <v>49</v>
      </c>
      <c r="BT10">
        <v>37</v>
      </c>
      <c r="BU10">
        <v>18</v>
      </c>
      <c r="BV10">
        <v>17</v>
      </c>
      <c r="BW10">
        <v>67</v>
      </c>
      <c r="BX10">
        <v>78</v>
      </c>
      <c r="BY10">
        <v>61</v>
      </c>
      <c r="BZ10">
        <v>47</v>
      </c>
      <c r="CA10">
        <v>57</v>
      </c>
      <c r="CB10">
        <v>64</v>
      </c>
      <c r="CC10">
        <v>81</v>
      </c>
      <c r="CD10">
        <v>53</v>
      </c>
      <c r="CE10">
        <v>65</v>
      </c>
      <c r="CF10">
        <v>30</v>
      </c>
      <c r="CG10">
        <v>2</v>
      </c>
    </row>
    <row r="11" spans="2:85" x14ac:dyDescent="0.5">
      <c r="B11" s="93"/>
      <c r="C11" s="93">
        <v>99</v>
      </c>
      <c r="D11">
        <v>97</v>
      </c>
      <c r="E11">
        <v>83</v>
      </c>
      <c r="F11">
        <v>80</v>
      </c>
      <c r="G11">
        <v>74</v>
      </c>
      <c r="H11">
        <v>71</v>
      </c>
      <c r="I11">
        <v>68</v>
      </c>
      <c r="J11">
        <v>59</v>
      </c>
      <c r="K11">
        <v>56</v>
      </c>
      <c r="L11">
        <v>55</v>
      </c>
      <c r="M11">
        <v>48</v>
      </c>
      <c r="N11">
        <v>42</v>
      </c>
      <c r="O11">
        <v>27</v>
      </c>
      <c r="P11">
        <v>25</v>
      </c>
      <c r="Q11">
        <v>13</v>
      </c>
      <c r="R11">
        <v>7</v>
      </c>
      <c r="S11">
        <v>6</v>
      </c>
    </row>
    <row r="12" spans="2:85" x14ac:dyDescent="0.5">
      <c r="B12" s="93"/>
      <c r="C12" s="93"/>
    </row>
    <row r="13" spans="2:85" x14ac:dyDescent="0.5">
      <c r="B13" s="93"/>
      <c r="C13" s="93"/>
    </row>
    <row r="14" spans="2:85" x14ac:dyDescent="0.5">
      <c r="B14" s="93"/>
      <c r="C14" s="93"/>
    </row>
    <row r="15" spans="2:85" x14ac:dyDescent="0.5">
      <c r="B15" s="93"/>
      <c r="C15" s="93"/>
    </row>
    <row r="16" spans="2:85" x14ac:dyDescent="0.5">
      <c r="B16" s="93"/>
      <c r="C16" s="93"/>
    </row>
    <row r="17" spans="2:101" x14ac:dyDescent="0.5">
      <c r="B17" s="93"/>
      <c r="C17" s="93"/>
    </row>
    <row r="18" spans="2:101" x14ac:dyDescent="0.5">
      <c r="B18" s="93"/>
      <c r="C18" s="93"/>
    </row>
    <row r="19" spans="2:101" x14ac:dyDescent="0.5">
      <c r="B19" s="93"/>
      <c r="C19" s="93"/>
    </row>
    <row r="20" spans="2:101" x14ac:dyDescent="0.5">
      <c r="B20" s="93"/>
      <c r="C20" s="93"/>
    </row>
    <row r="21" spans="2:101" x14ac:dyDescent="0.5">
      <c r="B21" s="93" t="s">
        <v>62</v>
      </c>
    </row>
    <row r="22" spans="2:101" x14ac:dyDescent="0.5">
      <c r="B22" s="93" t="s">
        <v>59</v>
      </c>
    </row>
    <row r="23" spans="2:101" x14ac:dyDescent="0.5">
      <c r="B23" s="93" t="s">
        <v>63</v>
      </c>
    </row>
    <row r="24" spans="2:101" x14ac:dyDescent="0.5">
      <c r="B24" s="93" t="s">
        <v>60</v>
      </c>
    </row>
    <row r="25" spans="2:101" x14ac:dyDescent="0.5">
      <c r="B25" s="93">
        <v>35</v>
      </c>
      <c r="C25">
        <v>90</v>
      </c>
      <c r="D25">
        <v>6</v>
      </c>
      <c r="E25">
        <v>15</v>
      </c>
      <c r="F25">
        <v>7</v>
      </c>
      <c r="G25">
        <v>40</v>
      </c>
      <c r="H25">
        <v>85</v>
      </c>
      <c r="I25">
        <v>63</v>
      </c>
      <c r="J25">
        <v>50</v>
      </c>
      <c r="K25">
        <v>13</v>
      </c>
      <c r="L25">
        <v>45</v>
      </c>
      <c r="M25">
        <v>8</v>
      </c>
      <c r="N25">
        <v>76</v>
      </c>
      <c r="O25">
        <v>33</v>
      </c>
      <c r="P25">
        <v>25</v>
      </c>
      <c r="Q25">
        <v>27</v>
      </c>
      <c r="R25">
        <v>42</v>
      </c>
      <c r="S25">
        <v>20</v>
      </c>
      <c r="T25">
        <v>94</v>
      </c>
      <c r="U25">
        <v>48</v>
      </c>
      <c r="V25">
        <v>91</v>
      </c>
      <c r="W25">
        <v>29</v>
      </c>
      <c r="X25">
        <v>95</v>
      </c>
      <c r="Y25">
        <v>77</v>
      </c>
      <c r="Z25">
        <v>82</v>
      </c>
      <c r="AA25">
        <v>98</v>
      </c>
      <c r="AB25">
        <v>86</v>
      </c>
      <c r="AC25">
        <v>69</v>
      </c>
      <c r="AD25">
        <v>60</v>
      </c>
      <c r="AE25">
        <v>58</v>
      </c>
      <c r="AF25">
        <v>79</v>
      </c>
      <c r="AG25">
        <v>55</v>
      </c>
      <c r="AH25">
        <v>24</v>
      </c>
      <c r="AI25">
        <v>12</v>
      </c>
      <c r="AJ25">
        <v>28</v>
      </c>
      <c r="AK25">
        <v>93</v>
      </c>
      <c r="AL25">
        <v>73</v>
      </c>
      <c r="AM25">
        <v>54</v>
      </c>
      <c r="AN25">
        <v>84</v>
      </c>
      <c r="AO25">
        <v>44</v>
      </c>
      <c r="AP25">
        <v>10</v>
      </c>
      <c r="AQ25">
        <v>75</v>
      </c>
      <c r="AR25">
        <v>0</v>
      </c>
      <c r="AS25">
        <v>32</v>
      </c>
      <c r="AT25">
        <v>89</v>
      </c>
      <c r="AU25">
        <v>52</v>
      </c>
      <c r="AV25">
        <v>51</v>
      </c>
      <c r="AW25">
        <v>16</v>
      </c>
      <c r="AX25">
        <v>56</v>
      </c>
      <c r="AY25">
        <v>70</v>
      </c>
      <c r="AZ25">
        <v>22</v>
      </c>
      <c r="BA25">
        <v>11</v>
      </c>
      <c r="BB25">
        <v>59</v>
      </c>
      <c r="BC25">
        <v>68</v>
      </c>
      <c r="BD25">
        <v>100</v>
      </c>
      <c r="BE25">
        <v>96</v>
      </c>
      <c r="BF25">
        <v>71</v>
      </c>
      <c r="BG25">
        <v>21</v>
      </c>
      <c r="BH25">
        <v>26</v>
      </c>
      <c r="BI25">
        <v>38</v>
      </c>
      <c r="BJ25">
        <v>-2147483648</v>
      </c>
      <c r="BK25">
        <v>46</v>
      </c>
      <c r="BL25">
        <v>92</v>
      </c>
      <c r="BM25">
        <v>36</v>
      </c>
      <c r="BN25">
        <v>88</v>
      </c>
      <c r="BO25">
        <v>31</v>
      </c>
      <c r="BP25">
        <v>66</v>
      </c>
      <c r="BQ25">
        <v>34</v>
      </c>
      <c r="BR25">
        <v>74</v>
      </c>
      <c r="BS25">
        <v>23</v>
      </c>
      <c r="BT25">
        <v>2147483647</v>
      </c>
      <c r="BU25">
        <v>9</v>
      </c>
      <c r="BV25">
        <v>43</v>
      </c>
      <c r="BW25">
        <v>49</v>
      </c>
      <c r="BX25">
        <v>37</v>
      </c>
      <c r="BY25">
        <v>80</v>
      </c>
      <c r="BZ25">
        <v>18</v>
      </c>
      <c r="CA25">
        <v>17</v>
      </c>
      <c r="CB25">
        <v>67</v>
      </c>
      <c r="CC25">
        <v>83</v>
      </c>
      <c r="CD25">
        <v>78</v>
      </c>
      <c r="CE25">
        <v>61</v>
      </c>
      <c r="CF25">
        <v>47</v>
      </c>
      <c r="CG25">
        <v>57</v>
      </c>
      <c r="CH25">
        <v>64</v>
      </c>
      <c r="CI25">
        <v>81</v>
      </c>
      <c r="CJ25">
        <v>97</v>
      </c>
      <c r="CK25">
        <v>53</v>
      </c>
      <c r="CL25">
        <v>65</v>
      </c>
      <c r="CM25">
        <v>30</v>
      </c>
      <c r="CN25">
        <v>-32768</v>
      </c>
      <c r="CO25">
        <v>99</v>
      </c>
      <c r="CP25">
        <v>14</v>
      </c>
      <c r="CQ25">
        <v>87</v>
      </c>
      <c r="CR25">
        <v>39</v>
      </c>
      <c r="CS25">
        <v>19</v>
      </c>
      <c r="CT25">
        <v>72</v>
      </c>
      <c r="CU25">
        <v>32767</v>
      </c>
      <c r="CV25">
        <v>62</v>
      </c>
      <c r="CW25">
        <v>41</v>
      </c>
    </row>
    <row r="26" spans="2:101" x14ac:dyDescent="0.5">
      <c r="B26" s="93"/>
    </row>
    <row r="27" spans="2:101" x14ac:dyDescent="0.5">
      <c r="B27" s="93"/>
    </row>
    <row r="28" spans="2:101" x14ac:dyDescent="0.5">
      <c r="B28" s="93">
        <v>35</v>
      </c>
      <c r="D28">
        <f>IF(C28="",B28,C28)</f>
        <v>35</v>
      </c>
      <c r="E28">
        <v>35</v>
      </c>
      <c r="F28">
        <f>E28</f>
        <v>35</v>
      </c>
    </row>
    <row r="29" spans="2:101" x14ac:dyDescent="0.5">
      <c r="B29">
        <v>90</v>
      </c>
      <c r="D29">
        <f t="shared" ref="D29:D92" si="0">IF(C29="",B29,C29)</f>
        <v>90</v>
      </c>
      <c r="E29">
        <v>90</v>
      </c>
      <c r="F29" t="str">
        <f>F28&amp;","&amp;E29</f>
        <v>35,90</v>
      </c>
    </row>
    <row r="30" spans="2:101" x14ac:dyDescent="0.5">
      <c r="B30">
        <v>6</v>
      </c>
      <c r="D30">
        <f t="shared" si="0"/>
        <v>6</v>
      </c>
      <c r="E30">
        <v>6</v>
      </c>
      <c r="F30" t="str">
        <f t="shared" ref="F30:F93" si="1">F29&amp;","&amp;E30</f>
        <v>35,90,6</v>
      </c>
    </row>
    <row r="31" spans="2:101" x14ac:dyDescent="0.5">
      <c r="B31">
        <v>15</v>
      </c>
      <c r="D31">
        <f t="shared" si="0"/>
        <v>15</v>
      </c>
      <c r="E31">
        <v>15</v>
      </c>
      <c r="F31" t="str">
        <f t="shared" si="1"/>
        <v>35,90,6,15</v>
      </c>
    </row>
    <row r="32" spans="2:101" x14ac:dyDescent="0.5">
      <c r="B32">
        <v>7</v>
      </c>
      <c r="D32">
        <f t="shared" si="0"/>
        <v>7</v>
      </c>
      <c r="E32">
        <v>7</v>
      </c>
      <c r="F32" t="str">
        <f t="shared" si="1"/>
        <v>35,90,6,15,7</v>
      </c>
    </row>
    <row r="33" spans="2:6" x14ac:dyDescent="0.5">
      <c r="B33">
        <v>40</v>
      </c>
      <c r="D33">
        <f t="shared" si="0"/>
        <v>40</v>
      </c>
      <c r="E33">
        <v>40</v>
      </c>
      <c r="F33" t="str">
        <f t="shared" si="1"/>
        <v>35,90,6,15,7,40</v>
      </c>
    </row>
    <row r="34" spans="2:6" x14ac:dyDescent="0.5">
      <c r="B34">
        <v>85</v>
      </c>
      <c r="D34">
        <f t="shared" si="0"/>
        <v>85</v>
      </c>
      <c r="E34">
        <v>85</v>
      </c>
      <c r="F34" t="str">
        <f t="shared" si="1"/>
        <v>35,90,6,15,7,40,85</v>
      </c>
    </row>
    <row r="35" spans="2:6" x14ac:dyDescent="0.5">
      <c r="B35">
        <v>63</v>
      </c>
      <c r="D35">
        <f t="shared" si="0"/>
        <v>63</v>
      </c>
      <c r="E35">
        <v>63</v>
      </c>
      <c r="F35" t="str">
        <f t="shared" si="1"/>
        <v>35,90,6,15,7,40,85,63</v>
      </c>
    </row>
    <row r="36" spans="2:6" x14ac:dyDescent="0.5">
      <c r="B36">
        <v>50</v>
      </c>
      <c r="D36">
        <f t="shared" si="0"/>
        <v>50</v>
      </c>
      <c r="E36">
        <v>50</v>
      </c>
      <c r="F36" t="str">
        <f t="shared" si="1"/>
        <v>35,90,6,15,7,40,85,63,50</v>
      </c>
    </row>
    <row r="37" spans="2:6" x14ac:dyDescent="0.5">
      <c r="B37">
        <v>13</v>
      </c>
      <c r="D37">
        <f t="shared" si="0"/>
        <v>13</v>
      </c>
      <c r="E37">
        <v>13</v>
      </c>
      <c r="F37" t="str">
        <f t="shared" si="1"/>
        <v>35,90,6,15,7,40,85,63,50,13</v>
      </c>
    </row>
    <row r="38" spans="2:6" x14ac:dyDescent="0.5">
      <c r="B38">
        <v>45</v>
      </c>
      <c r="D38">
        <f t="shared" si="0"/>
        <v>45</v>
      </c>
      <c r="E38">
        <v>45</v>
      </c>
      <c r="F38" t="str">
        <f t="shared" si="1"/>
        <v>35,90,6,15,7,40,85,63,50,13,45</v>
      </c>
    </row>
    <row r="39" spans="2:6" x14ac:dyDescent="0.5">
      <c r="B39">
        <v>8</v>
      </c>
      <c r="D39">
        <f t="shared" si="0"/>
        <v>8</v>
      </c>
      <c r="E39">
        <v>8</v>
      </c>
      <c r="F39" t="str">
        <f t="shared" si="1"/>
        <v>35,90,6,15,7,40,85,63,50,13,45,8</v>
      </c>
    </row>
    <row r="40" spans="2:6" x14ac:dyDescent="0.5">
      <c r="B40">
        <v>76</v>
      </c>
      <c r="D40">
        <f t="shared" si="0"/>
        <v>76</v>
      </c>
      <c r="E40">
        <v>76</v>
      </c>
      <c r="F40" t="str">
        <f t="shared" si="1"/>
        <v>35,90,6,15,7,40,85,63,50,13,45,8,76</v>
      </c>
    </row>
    <row r="41" spans="2:6" x14ac:dyDescent="0.5">
      <c r="B41">
        <v>33</v>
      </c>
      <c r="D41">
        <f t="shared" si="0"/>
        <v>33</v>
      </c>
      <c r="E41">
        <v>33</v>
      </c>
      <c r="F41" t="str">
        <f t="shared" si="1"/>
        <v>35,90,6,15,7,40,85,63,50,13,45,8,76,33</v>
      </c>
    </row>
    <row r="42" spans="2:6" x14ac:dyDescent="0.5">
      <c r="B42">
        <v>25</v>
      </c>
      <c r="D42">
        <f t="shared" si="0"/>
        <v>25</v>
      </c>
      <c r="E42">
        <v>25</v>
      </c>
      <c r="F42" t="str">
        <f t="shared" si="1"/>
        <v>35,90,6,15,7,40,85,63,50,13,45,8,76,33,25</v>
      </c>
    </row>
    <row r="43" spans="2:6" x14ac:dyDescent="0.5">
      <c r="B43">
        <v>27</v>
      </c>
      <c r="D43">
        <f t="shared" si="0"/>
        <v>27</v>
      </c>
      <c r="E43">
        <v>27</v>
      </c>
      <c r="F43" t="str">
        <f t="shared" si="1"/>
        <v>35,90,6,15,7,40,85,63,50,13,45,8,76,33,25,27</v>
      </c>
    </row>
    <row r="44" spans="2:6" x14ac:dyDescent="0.5">
      <c r="B44">
        <v>42</v>
      </c>
      <c r="D44">
        <f t="shared" si="0"/>
        <v>42</v>
      </c>
      <c r="E44">
        <v>42</v>
      </c>
      <c r="F44" t="str">
        <f t="shared" si="1"/>
        <v>35,90,6,15,7,40,85,63,50,13,45,8,76,33,25,27,42</v>
      </c>
    </row>
    <row r="45" spans="2:6" x14ac:dyDescent="0.5">
      <c r="B45">
        <v>20</v>
      </c>
      <c r="D45">
        <f t="shared" si="0"/>
        <v>20</v>
      </c>
      <c r="E45">
        <v>20</v>
      </c>
      <c r="F45" t="str">
        <f t="shared" si="1"/>
        <v>35,90,6,15,7,40,85,63,50,13,45,8,76,33,25,27,42,20</v>
      </c>
    </row>
    <row r="46" spans="2:6" x14ac:dyDescent="0.5">
      <c r="B46">
        <v>94</v>
      </c>
      <c r="D46">
        <f t="shared" si="0"/>
        <v>94</v>
      </c>
      <c r="E46">
        <v>94</v>
      </c>
      <c r="F46" t="str">
        <f t="shared" si="1"/>
        <v>35,90,6,15,7,40,85,63,50,13,45,8,76,33,25,27,42,20,94</v>
      </c>
    </row>
    <row r="47" spans="2:6" x14ac:dyDescent="0.5">
      <c r="B47">
        <v>48</v>
      </c>
      <c r="D47">
        <f t="shared" si="0"/>
        <v>48</v>
      </c>
      <c r="E47">
        <v>48</v>
      </c>
      <c r="F47" t="str">
        <f t="shared" si="1"/>
        <v>35,90,6,15,7,40,85,63,50,13,45,8,76,33,25,27,42,20,94,48</v>
      </c>
    </row>
    <row r="48" spans="2:6" x14ac:dyDescent="0.5">
      <c r="B48">
        <v>91</v>
      </c>
      <c r="D48">
        <f t="shared" si="0"/>
        <v>91</v>
      </c>
      <c r="E48">
        <v>91</v>
      </c>
      <c r="F48" t="str">
        <f t="shared" si="1"/>
        <v>35,90,6,15,7,40,85,63,50,13,45,8,76,33,25,27,42,20,94,48,91</v>
      </c>
    </row>
    <row r="49" spans="2:6" x14ac:dyDescent="0.5">
      <c r="B49">
        <v>29</v>
      </c>
      <c r="D49">
        <f t="shared" si="0"/>
        <v>29</v>
      </c>
      <c r="E49">
        <v>29</v>
      </c>
      <c r="F49" t="str">
        <f t="shared" si="1"/>
        <v>35,90,6,15,7,40,85,63,50,13,45,8,76,33,25,27,42,20,94,48,91,29</v>
      </c>
    </row>
    <row r="50" spans="2:6" x14ac:dyDescent="0.5">
      <c r="B50">
        <v>95</v>
      </c>
      <c r="D50">
        <f t="shared" si="0"/>
        <v>95</v>
      </c>
      <c r="E50">
        <v>95</v>
      </c>
      <c r="F50" t="str">
        <f t="shared" si="1"/>
        <v>35,90,6,15,7,40,85,63,50,13,45,8,76,33,25,27,42,20,94,48,91,29,95</v>
      </c>
    </row>
    <row r="51" spans="2:6" x14ac:dyDescent="0.5">
      <c r="B51">
        <v>77</v>
      </c>
      <c r="D51">
        <f t="shared" si="0"/>
        <v>77</v>
      </c>
      <c r="E51">
        <v>77</v>
      </c>
      <c r="F51" t="str">
        <f t="shared" si="1"/>
        <v>35,90,6,15,7,40,85,63,50,13,45,8,76,33,25,27,42,20,94,48,91,29,95,77</v>
      </c>
    </row>
    <row r="52" spans="2:6" x14ac:dyDescent="0.5">
      <c r="B52">
        <v>82</v>
      </c>
      <c r="D52">
        <f t="shared" si="0"/>
        <v>82</v>
      </c>
      <c r="E52">
        <v>82</v>
      </c>
      <c r="F52" t="str">
        <f t="shared" si="1"/>
        <v>35,90,6,15,7,40,85,63,50,13,45,8,76,33,25,27,42,20,94,48,91,29,95,77,82</v>
      </c>
    </row>
    <row r="53" spans="2:6" x14ac:dyDescent="0.5">
      <c r="B53">
        <v>98</v>
      </c>
      <c r="D53">
        <f t="shared" si="0"/>
        <v>98</v>
      </c>
      <c r="E53">
        <v>98</v>
      </c>
      <c r="F53" t="str">
        <f t="shared" si="1"/>
        <v>35,90,6,15,7,40,85,63,50,13,45,8,76,33,25,27,42,20,94,48,91,29,95,77,82,98</v>
      </c>
    </row>
    <row r="54" spans="2:6" x14ac:dyDescent="0.5">
      <c r="B54">
        <v>86</v>
      </c>
      <c r="D54">
        <f t="shared" si="0"/>
        <v>86</v>
      </c>
      <c r="E54">
        <v>86</v>
      </c>
      <c r="F54" t="str">
        <f t="shared" si="1"/>
        <v>35,90,6,15,7,40,85,63,50,13,45,8,76,33,25,27,42,20,94,48,91,29,95,77,82,98,86</v>
      </c>
    </row>
    <row r="55" spans="2:6" x14ac:dyDescent="0.5">
      <c r="B55">
        <v>69</v>
      </c>
      <c r="D55">
        <f t="shared" si="0"/>
        <v>69</v>
      </c>
      <c r="E55">
        <v>69</v>
      </c>
      <c r="F55" t="str">
        <f t="shared" si="1"/>
        <v>35,90,6,15,7,40,85,63,50,13,45,8,76,33,25,27,42,20,94,48,91,29,95,77,82,98,86,69</v>
      </c>
    </row>
    <row r="56" spans="2:6" x14ac:dyDescent="0.5">
      <c r="B56">
        <v>60</v>
      </c>
      <c r="D56">
        <f t="shared" si="0"/>
        <v>60</v>
      </c>
      <c r="E56">
        <v>60</v>
      </c>
      <c r="F56" t="str">
        <f t="shared" si="1"/>
        <v>35,90,6,15,7,40,85,63,50,13,45,8,76,33,25,27,42,20,94,48,91,29,95,77,82,98,86,69,60</v>
      </c>
    </row>
    <row r="57" spans="2:6" x14ac:dyDescent="0.5">
      <c r="B57">
        <v>58</v>
      </c>
      <c r="D57">
        <f t="shared" si="0"/>
        <v>58</v>
      </c>
      <c r="E57">
        <v>58</v>
      </c>
      <c r="F57" t="str">
        <f t="shared" si="1"/>
        <v>35,90,6,15,7,40,85,63,50,13,45,8,76,33,25,27,42,20,94,48,91,29,95,77,82,98,86,69,60,58</v>
      </c>
    </row>
    <row r="58" spans="2:6" x14ac:dyDescent="0.5">
      <c r="B58">
        <v>79</v>
      </c>
      <c r="D58">
        <f t="shared" si="0"/>
        <v>79</v>
      </c>
      <c r="E58">
        <v>79</v>
      </c>
      <c r="F58" t="str">
        <f t="shared" si="1"/>
        <v>35,90,6,15,7,40,85,63,50,13,45,8,76,33,25,27,42,20,94,48,91,29,95,77,82,98,86,69,60,58,79</v>
      </c>
    </row>
    <row r="59" spans="2:6" x14ac:dyDescent="0.5">
      <c r="B59">
        <v>55</v>
      </c>
      <c r="D59">
        <f t="shared" si="0"/>
        <v>55</v>
      </c>
      <c r="E59">
        <v>55</v>
      </c>
      <c r="F59" t="str">
        <f t="shared" si="1"/>
        <v>35,90,6,15,7,40,85,63,50,13,45,8,76,33,25,27,42,20,94,48,91,29,95,77,82,98,86,69,60,58,79,55</v>
      </c>
    </row>
    <row r="60" spans="2:6" x14ac:dyDescent="0.5">
      <c r="B60">
        <v>24</v>
      </c>
      <c r="D60">
        <f t="shared" si="0"/>
        <v>24</v>
      </c>
      <c r="E60">
        <v>24</v>
      </c>
      <c r="F60" t="str">
        <f t="shared" si="1"/>
        <v>35,90,6,15,7,40,85,63,50,13,45,8,76,33,25,27,42,20,94,48,91,29,95,77,82,98,86,69,60,58,79,55,24</v>
      </c>
    </row>
    <row r="61" spans="2:6" x14ac:dyDescent="0.5">
      <c r="B61">
        <v>12</v>
      </c>
      <c r="D61">
        <f t="shared" si="0"/>
        <v>12</v>
      </c>
      <c r="E61">
        <v>12</v>
      </c>
      <c r="F61" t="str">
        <f t="shared" si="1"/>
        <v>35,90,6,15,7,40,85,63,50,13,45,8,76,33,25,27,42,20,94,48,91,29,95,77,82,98,86,69,60,58,79,55,24,12</v>
      </c>
    </row>
    <row r="62" spans="2:6" x14ac:dyDescent="0.5">
      <c r="B62">
        <v>28</v>
      </c>
      <c r="D62">
        <f t="shared" si="0"/>
        <v>28</v>
      </c>
      <c r="E62">
        <v>28</v>
      </c>
      <c r="F62" t="str">
        <f t="shared" si="1"/>
        <v>35,90,6,15,7,40,85,63,50,13,45,8,76,33,25,27,42,20,94,48,91,29,95,77,82,98,86,69,60,58,79,55,24,12,28</v>
      </c>
    </row>
    <row r="63" spans="2:6" x14ac:dyDescent="0.5">
      <c r="B63">
        <v>93</v>
      </c>
      <c r="D63">
        <f t="shared" si="0"/>
        <v>93</v>
      </c>
      <c r="E63">
        <v>93</v>
      </c>
      <c r="F63" t="str">
        <f t="shared" si="1"/>
        <v>35,90,6,15,7,40,85,63,50,13,45,8,76,33,25,27,42,20,94,48,91,29,95,77,82,98,86,69,60,58,79,55,24,12,28,93</v>
      </c>
    </row>
    <row r="64" spans="2:6" x14ac:dyDescent="0.5">
      <c r="B64">
        <v>73</v>
      </c>
      <c r="D64">
        <f t="shared" si="0"/>
        <v>73</v>
      </c>
      <c r="E64">
        <v>73</v>
      </c>
      <c r="F64" t="str">
        <f t="shared" si="1"/>
        <v>35,90,6,15,7,40,85,63,50,13,45,8,76,33,25,27,42,20,94,48,91,29,95,77,82,98,86,69,60,58,79,55,24,12,28,93,73</v>
      </c>
    </row>
    <row r="65" spans="2:6" x14ac:dyDescent="0.5">
      <c r="B65">
        <v>54</v>
      </c>
      <c r="D65">
        <f t="shared" si="0"/>
        <v>54</v>
      </c>
      <c r="E65">
        <v>54</v>
      </c>
      <c r="F65" t="str">
        <f t="shared" si="1"/>
        <v>35,90,6,15,7,40,85,63,50,13,45,8,76,33,25,27,42,20,94,48,91,29,95,77,82,98,86,69,60,58,79,55,24,12,28,93,73,54</v>
      </c>
    </row>
    <row r="66" spans="2:6" x14ac:dyDescent="0.5">
      <c r="B66">
        <v>84</v>
      </c>
      <c r="D66">
        <f t="shared" si="0"/>
        <v>84</v>
      </c>
      <c r="E66">
        <v>84</v>
      </c>
      <c r="F66" t="str">
        <f t="shared" si="1"/>
        <v>35,90,6,15,7,40,85,63,50,13,45,8,76,33,25,27,42,20,94,48,91,29,95,77,82,98,86,69,60,58,79,55,24,12,28,93,73,54,84</v>
      </c>
    </row>
    <row r="67" spans="2:6" x14ac:dyDescent="0.5">
      <c r="B67">
        <v>44</v>
      </c>
      <c r="D67">
        <f t="shared" si="0"/>
        <v>44</v>
      </c>
      <c r="E67">
        <v>44</v>
      </c>
      <c r="F67" t="str">
        <f t="shared" si="1"/>
        <v>35,90,6,15,7,40,85,63,50,13,45,8,76,33,25,27,42,20,94,48,91,29,95,77,82,98,86,69,60,58,79,55,24,12,28,93,73,54,84,44</v>
      </c>
    </row>
    <row r="68" spans="2:6" x14ac:dyDescent="0.5">
      <c r="B68">
        <v>10</v>
      </c>
      <c r="D68">
        <f t="shared" si="0"/>
        <v>10</v>
      </c>
      <c r="E68">
        <v>10</v>
      </c>
      <c r="F68" t="str">
        <f t="shared" si="1"/>
        <v>35,90,6,15,7,40,85,63,50,13,45,8,76,33,25,27,42,20,94,48,91,29,95,77,82,98,86,69,60,58,79,55,24,12,28,93,73,54,84,44,10</v>
      </c>
    </row>
    <row r="69" spans="2:6" x14ac:dyDescent="0.5">
      <c r="B69">
        <v>75</v>
      </c>
      <c r="D69">
        <f t="shared" si="0"/>
        <v>75</v>
      </c>
      <c r="E69">
        <v>75</v>
      </c>
      <c r="F69" t="str">
        <f t="shared" si="1"/>
        <v>35,90,6,15,7,40,85,63,50,13,45,8,76,33,25,27,42,20,94,48,91,29,95,77,82,98,86,69,60,58,79,55,24,12,28,93,73,54,84,44,10,75</v>
      </c>
    </row>
    <row r="70" spans="2:6" x14ac:dyDescent="0.5">
      <c r="B70">
        <v>0</v>
      </c>
      <c r="C70">
        <v>3</v>
      </c>
      <c r="D70">
        <f t="shared" si="0"/>
        <v>3</v>
      </c>
      <c r="E70">
        <v>3</v>
      </c>
      <c r="F70" t="str">
        <f t="shared" si="1"/>
        <v>35,90,6,15,7,40,85,63,50,13,45,8,76,33,25,27,42,20,94,48,91,29,95,77,82,98,86,69,60,58,79,55,24,12,28,93,73,54,84,44,10,75,3</v>
      </c>
    </row>
    <row r="71" spans="2:6" x14ac:dyDescent="0.5">
      <c r="B71">
        <v>32</v>
      </c>
      <c r="D71">
        <f t="shared" si="0"/>
        <v>32</v>
      </c>
      <c r="E71">
        <v>32</v>
      </c>
      <c r="F71" t="str">
        <f t="shared" si="1"/>
        <v>35,90,6,15,7,40,85,63,50,13,45,8,76,33,25,27,42,20,94,48,91,29,95,77,82,98,86,69,60,58,79,55,24,12,28,93,73,54,84,44,10,75,3,32</v>
      </c>
    </row>
    <row r="72" spans="2:6" x14ac:dyDescent="0.5">
      <c r="B72">
        <v>89</v>
      </c>
      <c r="D72">
        <f t="shared" si="0"/>
        <v>89</v>
      </c>
      <c r="E72">
        <v>89</v>
      </c>
      <c r="F72" t="str">
        <f t="shared" si="1"/>
        <v>35,90,6,15,7,40,85,63,50,13,45,8,76,33,25,27,42,20,94,48,91,29,95,77,82,98,86,69,60,58,79,55,24,12,28,93,73,54,84,44,10,75,3,32,89</v>
      </c>
    </row>
    <row r="73" spans="2:6" x14ac:dyDescent="0.5">
      <c r="B73">
        <v>52</v>
      </c>
      <c r="D73">
        <f t="shared" si="0"/>
        <v>52</v>
      </c>
      <c r="E73">
        <v>52</v>
      </c>
      <c r="F73" t="str">
        <f t="shared" si="1"/>
        <v>35,90,6,15,7,40,85,63,50,13,45,8,76,33,25,27,42,20,94,48,91,29,95,77,82,98,86,69,60,58,79,55,24,12,28,93,73,54,84,44,10,75,3,32,89,52</v>
      </c>
    </row>
    <row r="74" spans="2:6" x14ac:dyDescent="0.5">
      <c r="B74">
        <v>51</v>
      </c>
      <c r="D74">
        <f t="shared" si="0"/>
        <v>51</v>
      </c>
      <c r="E74">
        <v>51</v>
      </c>
      <c r="F74" t="str">
        <f t="shared" si="1"/>
        <v>35,90,6,15,7,40,85,63,50,13,45,8,76,33,25,27,42,20,94,48,91,29,95,77,82,98,86,69,60,58,79,55,24,12,28,93,73,54,84,44,10,75,3,32,89,52,51</v>
      </c>
    </row>
    <row r="75" spans="2:6" x14ac:dyDescent="0.5">
      <c r="B75">
        <v>16</v>
      </c>
      <c r="D75">
        <f t="shared" si="0"/>
        <v>16</v>
      </c>
      <c r="E75">
        <v>16</v>
      </c>
      <c r="F75" t="str">
        <f t="shared" si="1"/>
        <v>35,90,6,15,7,40,85,63,50,13,45,8,76,33,25,27,42,20,94,48,91,29,95,77,82,98,86,69,60,58,79,55,24,12,28,93,73,54,84,44,10,75,3,32,89,52,51,16</v>
      </c>
    </row>
    <row r="76" spans="2:6" x14ac:dyDescent="0.5">
      <c r="B76">
        <v>56</v>
      </c>
      <c r="D76">
        <f t="shared" si="0"/>
        <v>56</v>
      </c>
      <c r="E76">
        <v>56</v>
      </c>
      <c r="F76" t="str">
        <f t="shared" si="1"/>
        <v>35,90,6,15,7,40,85,63,50,13,45,8,76,33,25,27,42,20,94,48,91,29,95,77,82,98,86,69,60,58,79,55,24,12,28,93,73,54,84,44,10,75,3,32,89,52,51,16,56</v>
      </c>
    </row>
    <row r="77" spans="2:6" x14ac:dyDescent="0.5">
      <c r="B77">
        <v>70</v>
      </c>
      <c r="D77">
        <f t="shared" si="0"/>
        <v>70</v>
      </c>
      <c r="E77">
        <v>70</v>
      </c>
      <c r="F77" t="str">
        <f t="shared" si="1"/>
        <v>35,90,6,15,7,40,85,63,50,13,45,8,76,33,25,27,42,20,94,48,91,29,95,77,82,98,86,69,60,58,79,55,24,12,28,93,73,54,84,44,10,75,3,32,89,52,51,16,56,70</v>
      </c>
    </row>
    <row r="78" spans="2:6" x14ac:dyDescent="0.5">
      <c r="B78">
        <v>22</v>
      </c>
      <c r="D78">
        <f t="shared" si="0"/>
        <v>22</v>
      </c>
      <c r="E78">
        <v>22</v>
      </c>
      <c r="F78" t="str">
        <f t="shared" si="1"/>
        <v>35,90,6,15,7,40,85,63,50,13,45,8,76,33,25,27,42,20,94,48,91,29,95,77,82,98,86,69,60,58,79,55,24,12,28,93,73,54,84,44,10,75,3,32,89,52,51,16,56,70,22</v>
      </c>
    </row>
    <row r="79" spans="2:6" x14ac:dyDescent="0.5">
      <c r="B79">
        <v>11</v>
      </c>
      <c r="D79">
        <f t="shared" si="0"/>
        <v>11</v>
      </c>
      <c r="E79">
        <v>11</v>
      </c>
      <c r="F79" t="str">
        <f t="shared" si="1"/>
        <v>35,90,6,15,7,40,85,63,50,13,45,8,76,33,25,27,42,20,94,48,91,29,95,77,82,98,86,69,60,58,79,55,24,12,28,93,73,54,84,44,10,75,3,32,89,52,51,16,56,70,22,11</v>
      </c>
    </row>
    <row r="80" spans="2:6" x14ac:dyDescent="0.5">
      <c r="B80">
        <v>59</v>
      </c>
      <c r="D80">
        <f t="shared" si="0"/>
        <v>59</v>
      </c>
      <c r="E80">
        <v>59</v>
      </c>
      <c r="F80" t="str">
        <f t="shared" si="1"/>
        <v>35,90,6,15,7,40,85,63,50,13,45,8,76,33,25,27,42,20,94,48,91,29,95,77,82,98,86,69,60,58,79,55,24,12,28,93,73,54,84,44,10,75,3,32,89,52,51,16,56,70,22,11,59</v>
      </c>
    </row>
    <row r="81" spans="2:6" x14ac:dyDescent="0.5">
      <c r="B81">
        <v>68</v>
      </c>
      <c r="D81">
        <f t="shared" si="0"/>
        <v>68</v>
      </c>
      <c r="E81">
        <v>68</v>
      </c>
      <c r="F81" t="str">
        <f t="shared" si="1"/>
        <v>35,90,6,15,7,40,85,63,50,13,45,8,76,33,25,27,42,20,94,48,91,29,95,77,82,98,86,69,60,58,79,55,24,12,28,93,73,54,84,44,10,75,3,32,89,52,51,16,56,70,22,11,59,68</v>
      </c>
    </row>
    <row r="82" spans="2:6" x14ac:dyDescent="0.5">
      <c r="B82">
        <v>100</v>
      </c>
      <c r="D82">
        <f t="shared" si="0"/>
        <v>100</v>
      </c>
      <c r="E82">
        <v>100</v>
      </c>
      <c r="F82" t="str">
        <f t="shared" si="1"/>
        <v>35,90,6,15,7,40,85,63,50,13,45,8,76,33,25,27,42,20,94,48,91,29,95,77,82,98,86,69,60,58,79,55,24,12,28,93,73,54,84,44,10,75,3,32,89,52,51,16,56,70,22,11,59,68,100</v>
      </c>
    </row>
    <row r="83" spans="2:6" x14ac:dyDescent="0.5">
      <c r="B83">
        <v>96</v>
      </c>
      <c r="D83">
        <f t="shared" si="0"/>
        <v>96</v>
      </c>
      <c r="E83">
        <v>96</v>
      </c>
      <c r="F83" t="str">
        <f t="shared" si="1"/>
        <v>35,90,6,15,7,40,85,63,50,13,45,8,76,33,25,27,42,20,94,48,91,29,95,77,82,98,86,69,60,58,79,55,24,12,28,93,73,54,84,44,10,75,3,32,89,52,51,16,56,70,22,11,59,68,100,96</v>
      </c>
    </row>
    <row r="84" spans="2:6" x14ac:dyDescent="0.5">
      <c r="B84">
        <v>71</v>
      </c>
      <c r="D84">
        <f t="shared" si="0"/>
        <v>71</v>
      </c>
      <c r="E84">
        <v>71</v>
      </c>
      <c r="F84" t="str">
        <f t="shared" si="1"/>
        <v>35,90,6,15,7,40,85,63,50,13,45,8,76,33,25,27,42,20,94,48,91,29,95,77,82,98,86,69,60,58,79,55,24,12,28,93,73,54,84,44,10,75,3,32,89,52,51,16,56,70,22,11,59,68,100,96,71</v>
      </c>
    </row>
    <row r="85" spans="2:6" x14ac:dyDescent="0.5">
      <c r="B85">
        <v>21</v>
      </c>
      <c r="D85">
        <f t="shared" si="0"/>
        <v>21</v>
      </c>
      <c r="E85">
        <v>21</v>
      </c>
      <c r="F85" t="str">
        <f t="shared" si="1"/>
        <v>35,90,6,15,7,40,85,63,50,13,45,8,76,33,25,27,42,20,94,48,91,29,95,77,82,98,86,69,60,58,79,55,24,12,28,93,73,54,84,44,10,75,3,32,89,52,51,16,56,70,22,11,59,68,100,96,71,21</v>
      </c>
    </row>
    <row r="86" spans="2:6" x14ac:dyDescent="0.5">
      <c r="B86">
        <v>26</v>
      </c>
      <c r="D86">
        <f t="shared" si="0"/>
        <v>26</v>
      </c>
      <c r="E86">
        <v>26</v>
      </c>
      <c r="F86" t="str">
        <f t="shared" si="1"/>
        <v>35,90,6,15,7,40,85,63,50,13,45,8,76,33,25,27,42,20,94,48,91,29,95,77,82,98,86,69,60,58,79,55,24,12,28,93,73,54,84,44,10,75,3,32,89,52,51,16,56,70,22,11,59,68,100,96,71,21,26</v>
      </c>
    </row>
    <row r="87" spans="2:6" x14ac:dyDescent="0.5">
      <c r="B87">
        <v>38</v>
      </c>
      <c r="D87">
        <f t="shared" si="0"/>
        <v>38</v>
      </c>
      <c r="E87">
        <v>38</v>
      </c>
      <c r="F87" t="str">
        <f t="shared" si="1"/>
        <v>35,90,6,15,7,40,85,63,50,13,45,8,76,33,25,27,42,20,94,48,91,29,95,77,82,98,86,69,60,58,79,55,24,12,28,93,73,54,84,44,10,75,3,32,89,52,51,16,56,70,22,11,59,68,100,96,71,21,26,38</v>
      </c>
    </row>
    <row r="88" spans="2:6" x14ac:dyDescent="0.5">
      <c r="B88">
        <v>-2147483648</v>
      </c>
      <c r="C88">
        <v>1</v>
      </c>
      <c r="D88">
        <f t="shared" si="0"/>
        <v>1</v>
      </c>
      <c r="E88">
        <v>1</v>
      </c>
      <c r="F88" t="str">
        <f t="shared" si="1"/>
        <v>35,90,6,15,7,40,85,63,50,13,45,8,76,33,25,27,42,20,94,48,91,29,95,77,82,98,86,69,60,58,79,55,24,12,28,93,73,54,84,44,10,75,3,32,89,52,51,16,56,70,22,11,59,68,100,96,71,21,26,38,1</v>
      </c>
    </row>
    <row r="89" spans="2:6" x14ac:dyDescent="0.5">
      <c r="B89">
        <v>46</v>
      </c>
      <c r="D89">
        <f t="shared" si="0"/>
        <v>46</v>
      </c>
      <c r="E89">
        <v>46</v>
      </c>
      <c r="F89" t="str">
        <f t="shared" si="1"/>
        <v>35,90,6,15,7,40,85,63,50,13,45,8,76,33,25,27,42,20,94,48,91,29,95,77,82,98,86,69,60,58,79,55,24,12,28,93,73,54,84,44,10,75,3,32,89,52,51,16,56,70,22,11,59,68,100,96,71,21,26,38,1,46</v>
      </c>
    </row>
    <row r="90" spans="2:6" x14ac:dyDescent="0.5">
      <c r="B90">
        <v>92</v>
      </c>
      <c r="D90">
        <f t="shared" si="0"/>
        <v>92</v>
      </c>
      <c r="E90">
        <v>92</v>
      </c>
      <c r="F90" t="str">
        <f t="shared" si="1"/>
        <v>35,90,6,15,7,40,85,63,50,13,45,8,76,33,25,27,42,20,94,48,91,29,95,77,82,98,86,69,60,58,79,55,24,12,28,93,73,54,84,44,10,75,3,32,89,52,51,16,56,70,22,11,59,68,100,96,71,21,26,38,1,46,92</v>
      </c>
    </row>
    <row r="91" spans="2:6" x14ac:dyDescent="0.5">
      <c r="B91">
        <v>36</v>
      </c>
      <c r="D91">
        <f t="shared" si="0"/>
        <v>36</v>
      </c>
      <c r="E91">
        <v>36</v>
      </c>
      <c r="F91" t="str">
        <f t="shared" si="1"/>
        <v>35,90,6,15,7,40,85,63,50,13,45,8,76,33,25,27,42,20,94,48,91,29,95,77,82,98,86,69,60,58,79,55,24,12,28,93,73,54,84,44,10,75,3,32,89,52,51,16,56,70,22,11,59,68,100,96,71,21,26,38,1,46,92,36</v>
      </c>
    </row>
    <row r="92" spans="2:6" x14ac:dyDescent="0.5">
      <c r="B92">
        <v>88</v>
      </c>
      <c r="D92">
        <f t="shared" si="0"/>
        <v>88</v>
      </c>
      <c r="E92">
        <v>88</v>
      </c>
      <c r="F92" t="str">
        <f t="shared" si="1"/>
        <v>35,90,6,15,7,40,85,63,50,13,45,8,76,33,25,27,42,20,94,48,91,29,95,77,82,98,86,69,60,58,79,55,24,12,28,93,73,54,84,44,10,75,3,32,89,52,51,16,56,70,22,11,59,68,100,96,71,21,26,38,1,46,92,36,88</v>
      </c>
    </row>
    <row r="93" spans="2:6" x14ac:dyDescent="0.5">
      <c r="B93">
        <v>31</v>
      </c>
      <c r="D93">
        <f t="shared" ref="D93:D127" si="2">IF(C93="",B93,C93)</f>
        <v>31</v>
      </c>
      <c r="E93">
        <v>31</v>
      </c>
      <c r="F93" t="str">
        <f t="shared" si="1"/>
        <v>35,90,6,15,7,40,85,63,50,13,45,8,76,33,25,27,42,20,94,48,91,29,95,77,82,98,86,69,60,58,79,55,24,12,28,93,73,54,84,44,10,75,3,32,89,52,51,16,56,70,22,11,59,68,100,96,71,21,26,38,1,46,92,36,88,31</v>
      </c>
    </row>
    <row r="94" spans="2:6" x14ac:dyDescent="0.5">
      <c r="B94">
        <v>66</v>
      </c>
      <c r="D94">
        <f t="shared" si="2"/>
        <v>66</v>
      </c>
      <c r="E94">
        <v>66</v>
      </c>
      <c r="F94" t="str">
        <f t="shared" ref="F94:F127" si="3">F93&amp;","&amp;E94</f>
        <v>35,90,6,15,7,40,85,63,50,13,45,8,76,33,25,27,42,20,94,48,91,29,95,77,82,98,86,69,60,58,79,55,24,12,28,93,73,54,84,44,10,75,3,32,89,52,51,16,56,70,22,11,59,68,100,96,71,21,26,38,1,46,92,36,88,31,66</v>
      </c>
    </row>
    <row r="95" spans="2:6" x14ac:dyDescent="0.5">
      <c r="B95">
        <v>34</v>
      </c>
      <c r="D95">
        <f t="shared" si="2"/>
        <v>34</v>
      </c>
      <c r="E95">
        <v>34</v>
      </c>
      <c r="F95" t="str">
        <f t="shared" si="3"/>
        <v>35,90,6,15,7,40,85,63,50,13,45,8,76,33,25,27,42,20,94,48,91,29,95,77,82,98,86,69,60,58,79,55,24,12,28,93,73,54,84,44,10,75,3,32,89,52,51,16,56,70,22,11,59,68,100,96,71,21,26,38,1,46,92,36,88,31,66,34</v>
      </c>
    </row>
    <row r="96" spans="2:6" x14ac:dyDescent="0.5">
      <c r="B96">
        <v>74</v>
      </c>
      <c r="D96">
        <f t="shared" si="2"/>
        <v>74</v>
      </c>
      <c r="E96">
        <v>74</v>
      </c>
      <c r="F96" t="str">
        <f t="shared" si="3"/>
        <v>35,90,6,15,7,40,85,63,50,13,45,8,76,33,25,27,42,20,94,48,91,29,95,77,82,98,86,69,60,58,79,55,24,12,28,93,73,54,84,44,10,75,3,32,89,52,51,16,56,70,22,11,59,68,100,96,71,21,26,38,1,46,92,36,88,31,66,34,74</v>
      </c>
    </row>
    <row r="97" spans="2:6" x14ac:dyDescent="0.5">
      <c r="B97">
        <v>23</v>
      </c>
      <c r="D97">
        <f t="shared" si="2"/>
        <v>23</v>
      </c>
      <c r="E97">
        <v>23</v>
      </c>
      <c r="F97" t="str">
        <f t="shared" si="3"/>
        <v>35,90,6,15,7,40,85,63,50,13,45,8,76,33,25,27,42,20,94,48,91,29,95,77,82,98,86,69,60,58,79,55,24,12,28,93,73,54,84,44,10,75,3,32,89,52,51,16,56,70,22,11,59,68,100,96,71,21,26,38,1,46,92,36,88,31,66,34,74,23</v>
      </c>
    </row>
    <row r="98" spans="2:6" x14ac:dyDescent="0.5">
      <c r="B98">
        <v>2147483647</v>
      </c>
      <c r="C98">
        <v>5</v>
      </c>
      <c r="D98">
        <f t="shared" si="2"/>
        <v>5</v>
      </c>
      <c r="E98">
        <v>5</v>
      </c>
      <c r="F98" t="str">
        <f t="shared" si="3"/>
        <v>35,90,6,15,7,40,85,63,50,13,45,8,76,33,25,27,42,20,94,48,91,29,95,77,82,98,86,69,60,58,79,55,24,12,28,93,73,54,84,44,10,75,3,32,89,52,51,16,56,70,22,11,59,68,100,96,71,21,26,38,1,46,92,36,88,31,66,34,74,23,5</v>
      </c>
    </row>
    <row r="99" spans="2:6" x14ac:dyDescent="0.5">
      <c r="B99">
        <v>9</v>
      </c>
      <c r="D99">
        <f t="shared" si="2"/>
        <v>9</v>
      </c>
      <c r="E99">
        <v>9</v>
      </c>
      <c r="F99" t="str">
        <f t="shared" si="3"/>
        <v>35,90,6,15,7,40,85,63,50,13,45,8,76,33,25,27,42,20,94,48,91,29,95,77,82,98,86,69,60,58,79,55,24,12,28,93,73,54,84,44,10,75,3,32,89,52,51,16,56,70,22,11,59,68,100,96,71,21,26,38,1,46,92,36,88,31,66,34,74,23,5,9</v>
      </c>
    </row>
    <row r="100" spans="2:6" x14ac:dyDescent="0.5">
      <c r="B100">
        <v>43</v>
      </c>
      <c r="D100">
        <f t="shared" si="2"/>
        <v>43</v>
      </c>
      <c r="E100">
        <v>43</v>
      </c>
      <c r="F100" t="str">
        <f t="shared" si="3"/>
        <v>35,90,6,15,7,40,85,63,50,13,45,8,76,33,25,27,42,20,94,48,91,29,95,77,82,98,86,69,60,58,79,55,24,12,28,93,73,54,84,44,10,75,3,32,89,52,51,16,56,70,22,11,59,68,100,96,71,21,26,38,1,46,92,36,88,31,66,34,74,23,5,9,43</v>
      </c>
    </row>
    <row r="101" spans="2:6" x14ac:dyDescent="0.5">
      <c r="B101">
        <v>49</v>
      </c>
      <c r="D101">
        <f t="shared" si="2"/>
        <v>49</v>
      </c>
      <c r="E101">
        <v>49</v>
      </c>
      <c r="F101" t="str">
        <f t="shared" si="3"/>
        <v>35,90,6,15,7,40,85,63,50,13,45,8,76,33,25,27,42,20,94,48,91,29,95,77,82,98,86,69,60,58,79,55,24,12,28,93,73,54,84,44,10,75,3,32,89,52,51,16,56,70,22,11,59,68,100,96,71,21,26,38,1,46,92,36,88,31,66,34,74,23,5,9,43,49</v>
      </c>
    </row>
    <row r="102" spans="2:6" x14ac:dyDescent="0.5">
      <c r="B102">
        <v>37</v>
      </c>
      <c r="D102">
        <f t="shared" si="2"/>
        <v>37</v>
      </c>
      <c r="E102">
        <v>37</v>
      </c>
      <c r="F102" t="str">
        <f t="shared" si="3"/>
        <v>35,90,6,15,7,40,85,63,50,13,45,8,76,33,25,27,42,20,94,48,91,29,95,77,82,98,86,69,60,58,79,55,24,12,28,93,73,54,84,44,10,75,3,32,89,52,51,16,56,70,22,11,59,68,100,96,71,21,26,38,1,46,92,36,88,31,66,34,74,23,5,9,43,49,37</v>
      </c>
    </row>
    <row r="103" spans="2:6" x14ac:dyDescent="0.5">
      <c r="B103">
        <v>80</v>
      </c>
      <c r="D103">
        <f t="shared" si="2"/>
        <v>80</v>
      </c>
      <c r="E103">
        <v>80</v>
      </c>
      <c r="F103" t="str">
        <f t="shared" si="3"/>
        <v>35,90,6,15,7,40,85,63,50,13,45,8,76,33,25,27,42,20,94,48,91,29,95,77,82,98,86,69,60,58,79,55,24,12,28,93,73,54,84,44,10,75,3,32,89,52,51,16,56,70,22,11,59,68,100,96,71,21,26,38,1,46,92,36,88,31,66,34,74,23,5,9,43,49,37,80</v>
      </c>
    </row>
    <row r="104" spans="2:6" x14ac:dyDescent="0.5">
      <c r="B104">
        <v>18</v>
      </c>
      <c r="D104">
        <f t="shared" si="2"/>
        <v>18</v>
      </c>
      <c r="E104">
        <v>18</v>
      </c>
      <c r="F104" t="str">
        <f t="shared" si="3"/>
        <v>35,90,6,15,7,40,85,63,50,13,45,8,76,33,25,27,42,20,94,48,91,29,95,77,82,98,86,69,60,58,79,55,24,12,28,93,73,54,84,44,10,75,3,32,89,52,51,16,56,70,22,11,59,68,100,96,71,21,26,38,1,46,92,36,88,31,66,34,74,23,5,9,43,49,37,80,18</v>
      </c>
    </row>
    <row r="105" spans="2:6" x14ac:dyDescent="0.5">
      <c r="B105">
        <v>17</v>
      </c>
      <c r="D105">
        <f t="shared" si="2"/>
        <v>17</v>
      </c>
      <c r="E105">
        <v>17</v>
      </c>
      <c r="F105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</v>
      </c>
    </row>
    <row r="106" spans="2:6" x14ac:dyDescent="0.5">
      <c r="B106">
        <v>67</v>
      </c>
      <c r="D106">
        <f t="shared" si="2"/>
        <v>67</v>
      </c>
      <c r="E106">
        <v>67</v>
      </c>
      <c r="F106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</v>
      </c>
    </row>
    <row r="107" spans="2:6" x14ac:dyDescent="0.5">
      <c r="B107">
        <v>83</v>
      </c>
      <c r="D107">
        <f t="shared" si="2"/>
        <v>83</v>
      </c>
      <c r="E107">
        <v>83</v>
      </c>
      <c r="F107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</v>
      </c>
    </row>
    <row r="108" spans="2:6" x14ac:dyDescent="0.5">
      <c r="B108">
        <v>78</v>
      </c>
      <c r="D108">
        <f t="shared" si="2"/>
        <v>78</v>
      </c>
      <c r="E108">
        <v>78</v>
      </c>
      <c r="F108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</v>
      </c>
    </row>
    <row r="109" spans="2:6" x14ac:dyDescent="0.5">
      <c r="B109">
        <v>61</v>
      </c>
      <c r="D109">
        <f t="shared" si="2"/>
        <v>61</v>
      </c>
      <c r="E109">
        <v>61</v>
      </c>
      <c r="F109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</v>
      </c>
    </row>
    <row r="110" spans="2:6" x14ac:dyDescent="0.5">
      <c r="B110">
        <v>47</v>
      </c>
      <c r="D110">
        <f t="shared" si="2"/>
        <v>47</v>
      </c>
      <c r="E110">
        <v>47</v>
      </c>
      <c r="F110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</v>
      </c>
    </row>
    <row r="111" spans="2:6" x14ac:dyDescent="0.5">
      <c r="B111">
        <v>57</v>
      </c>
      <c r="D111">
        <f t="shared" si="2"/>
        <v>57</v>
      </c>
      <c r="E111">
        <v>57</v>
      </c>
      <c r="F111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</v>
      </c>
    </row>
    <row r="112" spans="2:6" x14ac:dyDescent="0.5">
      <c r="B112">
        <v>64</v>
      </c>
      <c r="D112">
        <f t="shared" si="2"/>
        <v>64</v>
      </c>
      <c r="E112">
        <v>64</v>
      </c>
      <c r="F112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</v>
      </c>
    </row>
    <row r="113" spans="2:6" x14ac:dyDescent="0.5">
      <c r="B113">
        <v>81</v>
      </c>
      <c r="D113">
        <f t="shared" si="2"/>
        <v>81</v>
      </c>
      <c r="E113">
        <v>81</v>
      </c>
      <c r="F113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</v>
      </c>
    </row>
    <row r="114" spans="2:6" x14ac:dyDescent="0.5">
      <c r="B114">
        <v>97</v>
      </c>
      <c r="D114">
        <f t="shared" si="2"/>
        <v>97</v>
      </c>
      <c r="E114">
        <v>97</v>
      </c>
      <c r="F114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</v>
      </c>
    </row>
    <row r="115" spans="2:6" x14ac:dyDescent="0.5">
      <c r="B115">
        <v>53</v>
      </c>
      <c r="D115">
        <f t="shared" si="2"/>
        <v>53</v>
      </c>
      <c r="E115">
        <v>53</v>
      </c>
      <c r="F115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</v>
      </c>
    </row>
    <row r="116" spans="2:6" x14ac:dyDescent="0.5">
      <c r="B116">
        <v>65</v>
      </c>
      <c r="D116">
        <f t="shared" si="2"/>
        <v>65</v>
      </c>
      <c r="E116">
        <v>65</v>
      </c>
      <c r="F116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</v>
      </c>
    </row>
    <row r="117" spans="2:6" x14ac:dyDescent="0.5">
      <c r="B117">
        <v>30</v>
      </c>
      <c r="D117">
        <f t="shared" si="2"/>
        <v>30</v>
      </c>
      <c r="E117">
        <v>30</v>
      </c>
      <c r="F117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</v>
      </c>
    </row>
    <row r="118" spans="2:6" x14ac:dyDescent="0.5">
      <c r="B118">
        <v>-32768</v>
      </c>
      <c r="C118">
        <v>2</v>
      </c>
      <c r="D118">
        <f t="shared" si="2"/>
        <v>2</v>
      </c>
      <c r="E118">
        <v>2</v>
      </c>
      <c r="F118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</v>
      </c>
    </row>
    <row r="119" spans="2:6" x14ac:dyDescent="0.5">
      <c r="B119">
        <v>99</v>
      </c>
      <c r="D119">
        <f t="shared" si="2"/>
        <v>99</v>
      </c>
      <c r="E119">
        <v>99</v>
      </c>
      <c r="F119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</v>
      </c>
    </row>
    <row r="120" spans="2:6" x14ac:dyDescent="0.5">
      <c r="B120">
        <v>14</v>
      </c>
      <c r="D120">
        <f t="shared" si="2"/>
        <v>14</v>
      </c>
      <c r="E120">
        <v>14</v>
      </c>
      <c r="F120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</v>
      </c>
    </row>
    <row r="121" spans="2:6" x14ac:dyDescent="0.5">
      <c r="B121">
        <v>87</v>
      </c>
      <c r="D121">
        <f t="shared" si="2"/>
        <v>87</v>
      </c>
      <c r="E121">
        <v>87</v>
      </c>
      <c r="F121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</v>
      </c>
    </row>
    <row r="122" spans="2:6" x14ac:dyDescent="0.5">
      <c r="B122">
        <v>39</v>
      </c>
      <c r="D122">
        <f t="shared" si="2"/>
        <v>39</v>
      </c>
      <c r="E122">
        <v>39</v>
      </c>
      <c r="F122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35,90,6,15,7,40,85,63,50,13,45,8,76,33,25,27,42,20,94,48,91,29,95,77,82,98,86,69,60,58,79,55,24,12,28,93,73,54,84,44,10,75,3,32,89,52,51,16,56,70,22,11,59,68,100,96,71,21,26,38,1,46,92,36,88,31,66,34,74,23,5,9,43,49,37,80,18,17,67,83,78,61,47,57,64,81,97,53,65,30,2,99,14,87,39</v>
      </c>
    </row>
    <row r="123" spans="2:6" x14ac:dyDescent="0.5">
      <c r="B123">
        <v>19</v>
      </c>
      <c r="D123">
        <f t="shared" si="2"/>
        <v>19</v>
      </c>
      <c r="E123">
        <v>19</v>
      </c>
      <c r="F123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,39,19</v>
      </c>
    </row>
    <row r="124" spans="2:6" x14ac:dyDescent="0.5">
      <c r="B124">
        <v>72</v>
      </c>
      <c r="D124">
        <f t="shared" si="2"/>
        <v>72</v>
      </c>
      <c r="E124">
        <v>72</v>
      </c>
      <c r="F124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,39,19,72</v>
      </c>
    </row>
    <row r="125" spans="2:6" x14ac:dyDescent="0.5">
      <c r="B125">
        <v>32767</v>
      </c>
      <c r="C125">
        <v>4</v>
      </c>
      <c r="D125">
        <f t="shared" si="2"/>
        <v>4</v>
      </c>
      <c r="E125">
        <v>4</v>
      </c>
      <c r="F125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,39,19,72,4</v>
      </c>
    </row>
    <row r="126" spans="2:6" x14ac:dyDescent="0.5">
      <c r="B126">
        <v>62</v>
      </c>
      <c r="D126">
        <f t="shared" si="2"/>
        <v>62</v>
      </c>
      <c r="E126">
        <v>62</v>
      </c>
      <c r="F126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,39,19,72,4,62</v>
      </c>
    </row>
    <row r="127" spans="2:6" x14ac:dyDescent="0.5">
      <c r="B127">
        <v>41</v>
      </c>
      <c r="D127">
        <f t="shared" si="2"/>
        <v>41</v>
      </c>
      <c r="E127">
        <v>41</v>
      </c>
      <c r="F127" t="str">
        <f t="shared" si="3"/>
        <v>35,90,6,15,7,40,85,63,50,13,45,8,76,33,25,27,42,20,94,48,91,29,95,77,82,98,86,69,60,58,79,55,24,12,28,93,73,54,84,44,10,75,3,32,89,52,51,16,56,70,22,11,59,68,100,96,71,21,26,38,1,46,92,36,88,31,66,34,74,23,5,9,43,49,37,80,18,17,67,83,78,61,47,57,64,81,97,53,65,30,2,99,14,87,39,19,72,4,62,41</v>
      </c>
    </row>
    <row r="129" spans="6:6" x14ac:dyDescent="0.5">
      <c r="F129" t="s">
        <v>61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50FFB-3A76-49A6-86F2-5976057B5A11}">
  <sheetPr codeName="Hoja4"/>
  <dimension ref="A3:AO8"/>
  <sheetViews>
    <sheetView workbookViewId="0">
      <selection activeCell="B4" sqref="B4:AO4"/>
    </sheetView>
  </sheetViews>
  <sheetFormatPr baseColWidth="10" defaultColWidth="3.625" defaultRowHeight="15.75" x14ac:dyDescent="0.5"/>
  <cols>
    <col min="1" max="1" width="11.875" customWidth="1"/>
  </cols>
  <sheetData>
    <row r="3" spans="1:41" x14ac:dyDescent="0.5">
      <c r="A3" t="s">
        <v>58</v>
      </c>
      <c r="B3" s="93">
        <v>15</v>
      </c>
    </row>
    <row r="4" spans="1:41" x14ac:dyDescent="0.5">
      <c r="A4" t="s">
        <v>54</v>
      </c>
      <c r="B4" s="93">
        <v>30</v>
      </c>
      <c r="C4">
        <v>6</v>
      </c>
      <c r="D4">
        <v>7</v>
      </c>
      <c r="E4">
        <v>15</v>
      </c>
      <c r="F4">
        <v>5</v>
      </c>
      <c r="G4">
        <v>8</v>
      </c>
      <c r="H4">
        <v>18</v>
      </c>
      <c r="I4">
        <v>13</v>
      </c>
      <c r="J4">
        <v>3</v>
      </c>
      <c r="K4">
        <v>21</v>
      </c>
      <c r="L4">
        <v>23</v>
      </c>
      <c r="M4">
        <v>24</v>
      </c>
      <c r="N4">
        <v>10</v>
      </c>
      <c r="O4">
        <v>12</v>
      </c>
      <c r="P4">
        <v>35</v>
      </c>
      <c r="Q4">
        <v>25</v>
      </c>
      <c r="R4">
        <v>26</v>
      </c>
      <c r="S4">
        <v>16</v>
      </c>
      <c r="T4">
        <v>1</v>
      </c>
      <c r="U4">
        <v>33</v>
      </c>
      <c r="V4">
        <v>4</v>
      </c>
      <c r="W4">
        <v>2</v>
      </c>
      <c r="X4">
        <v>40</v>
      </c>
      <c r="Y4">
        <v>14</v>
      </c>
      <c r="Z4">
        <v>39</v>
      </c>
      <c r="AA4">
        <v>38</v>
      </c>
      <c r="AB4">
        <v>28</v>
      </c>
      <c r="AC4">
        <v>9</v>
      </c>
      <c r="AD4">
        <v>11</v>
      </c>
      <c r="AE4">
        <v>17</v>
      </c>
      <c r="AF4">
        <v>29</v>
      </c>
      <c r="AG4">
        <v>20</v>
      </c>
      <c r="AH4">
        <v>32</v>
      </c>
      <c r="AI4">
        <v>34</v>
      </c>
      <c r="AJ4">
        <v>19</v>
      </c>
      <c r="AK4">
        <v>36</v>
      </c>
      <c r="AL4">
        <v>31</v>
      </c>
      <c r="AM4">
        <v>37</v>
      </c>
      <c r="AN4">
        <v>22</v>
      </c>
      <c r="AO4">
        <v>27</v>
      </c>
    </row>
    <row r="5" spans="1:41" x14ac:dyDescent="0.5">
      <c r="A5" t="s">
        <v>55</v>
      </c>
      <c r="B5">
        <v>6</v>
      </c>
      <c r="C5">
        <v>7</v>
      </c>
      <c r="D5">
        <v>15</v>
      </c>
      <c r="E5">
        <v>18</v>
      </c>
      <c r="F5">
        <v>21</v>
      </c>
      <c r="G5">
        <v>23</v>
      </c>
      <c r="H5">
        <v>24</v>
      </c>
      <c r="I5">
        <v>25</v>
      </c>
      <c r="J5">
        <v>26</v>
      </c>
      <c r="K5">
        <v>28</v>
      </c>
      <c r="L5">
        <v>29</v>
      </c>
      <c r="M5">
        <v>32</v>
      </c>
      <c r="N5">
        <v>34</v>
      </c>
      <c r="O5">
        <v>36</v>
      </c>
      <c r="P5">
        <v>37</v>
      </c>
    </row>
    <row r="6" spans="1:41" x14ac:dyDescent="0.5">
      <c r="A6" t="s">
        <v>56</v>
      </c>
      <c r="B6">
        <v>22</v>
      </c>
      <c r="C6">
        <v>27</v>
      </c>
      <c r="D6">
        <v>30</v>
      </c>
      <c r="E6">
        <v>5</v>
      </c>
      <c r="F6">
        <v>8</v>
      </c>
      <c r="G6">
        <v>13</v>
      </c>
      <c r="H6">
        <v>3</v>
      </c>
      <c r="I6">
        <v>10</v>
      </c>
      <c r="J6">
        <v>12</v>
      </c>
      <c r="K6">
        <v>35</v>
      </c>
      <c r="L6">
        <v>16</v>
      </c>
      <c r="M6">
        <v>1</v>
      </c>
      <c r="N6">
        <v>33</v>
      </c>
      <c r="O6">
        <v>4</v>
      </c>
      <c r="P6">
        <v>2</v>
      </c>
      <c r="Q6">
        <v>40</v>
      </c>
      <c r="R6">
        <v>14</v>
      </c>
      <c r="S6">
        <v>39</v>
      </c>
      <c r="T6">
        <v>38</v>
      </c>
      <c r="U6">
        <v>9</v>
      </c>
      <c r="V6">
        <v>11</v>
      </c>
      <c r="W6">
        <v>17</v>
      </c>
      <c r="X6">
        <v>20</v>
      </c>
      <c r="Y6">
        <v>19</v>
      </c>
      <c r="Z6">
        <v>31</v>
      </c>
    </row>
    <row r="7" spans="1:41" x14ac:dyDescent="0.5">
      <c r="A7" t="s">
        <v>57</v>
      </c>
      <c r="B7">
        <v>37</v>
      </c>
      <c r="C7">
        <v>36</v>
      </c>
      <c r="D7">
        <v>34</v>
      </c>
      <c r="E7">
        <v>32</v>
      </c>
      <c r="F7">
        <v>29</v>
      </c>
      <c r="G7">
        <v>28</v>
      </c>
      <c r="H7">
        <v>26</v>
      </c>
      <c r="I7">
        <v>25</v>
      </c>
      <c r="J7">
        <v>24</v>
      </c>
      <c r="K7">
        <v>23</v>
      </c>
      <c r="L7">
        <v>21</v>
      </c>
      <c r="M7">
        <v>18</v>
      </c>
      <c r="N7">
        <v>15</v>
      </c>
      <c r="O7">
        <v>7</v>
      </c>
      <c r="P7">
        <v>6</v>
      </c>
    </row>
    <row r="8" spans="1:41" x14ac:dyDescent="0.5">
      <c r="B8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Sheet1</vt:lpstr>
      <vt:lpstr>Hoja4</vt:lpstr>
      <vt:lpstr>Hoja3</vt:lpstr>
      <vt:lpstr>Sheet3</vt:lpstr>
      <vt:lpstr>Sheet4</vt:lpstr>
      <vt:lpstr>Hoja2</vt:lpstr>
      <vt:lpstr>Sheet1_64</vt:lpstr>
      <vt:lpstr>Hoja1</vt:lpstr>
      <vt:lpstr>Hoja1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apa</cp:lastModifiedBy>
  <dcterms:created xsi:type="dcterms:W3CDTF">2022-11-26T17:32:18Z</dcterms:created>
  <dcterms:modified xsi:type="dcterms:W3CDTF">2023-03-11T07:59:29Z</dcterms:modified>
</cp:coreProperties>
</file>